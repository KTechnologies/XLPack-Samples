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ja\full\VBA\"/>
    </mc:Choice>
  </mc:AlternateContent>
  <xr:revisionPtr revIDLastSave="0" documentId="13_ncr:1_{DD9DAC1B-1002-493A-B2C6-FFC7465F8B8A}" xr6:coauthVersionLast="47" xr6:coauthVersionMax="47" xr10:uidLastSave="{00000000-0000-0000-0000-000000000000}"/>
  <bookViews>
    <workbookView xWindow="0" yWindow="0" windowWidth="19200" windowHeight="11280" tabRatio="784" xr2:uid="{00000000-000D-0000-FFFF-FFFF00000000}"/>
  </bookViews>
  <sheets>
    <sheet name="NSym" sheetId="14" r:id="rId1"/>
    <sheet name="NSym (GNEP)" sheetId="15" r:id="rId2"/>
    <sheet name="SVD" sheetId="1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17" l="1"/>
  <c r="A16" i="17"/>
  <c r="A15" i="17"/>
  <c r="A14" i="17"/>
  <c r="A13" i="17"/>
  <c r="A12" i="17"/>
  <c r="A11" i="17"/>
  <c r="A10" i="17"/>
  <c r="A9" i="17"/>
  <c r="E14" i="15"/>
  <c r="E12" i="15"/>
  <c r="E9" i="15"/>
  <c r="A17" i="15"/>
  <c r="A16" i="15"/>
  <c r="A15" i="15"/>
  <c r="A14" i="15"/>
  <c r="A13" i="15"/>
  <c r="A12" i="15"/>
  <c r="A11" i="15"/>
  <c r="A10" i="15"/>
  <c r="A9" i="15"/>
  <c r="E13" i="15"/>
  <c r="E11" i="15"/>
  <c r="E10" i="15"/>
  <c r="A17" i="14"/>
  <c r="A16" i="14"/>
  <c r="A15" i="14"/>
  <c r="A14" i="14"/>
  <c r="A13" i="14"/>
  <c r="A12" i="14"/>
  <c r="A11" i="14"/>
  <c r="A10" i="14"/>
  <c r="A9" i="14"/>
</calcChain>
</file>

<file path=xl/sharedStrings.xml><?xml version="1.0" encoding="utf-8"?>
<sst xmlns="http://schemas.openxmlformats.org/spreadsheetml/2006/main" count="68" uniqueCount="43">
  <si>
    <t>固有値</t>
    <rPh sb="0" eb="3">
      <t>コユウチ</t>
    </rPh>
    <phoneticPr fontId="1"/>
  </si>
  <si>
    <t>λ</t>
    <phoneticPr fontId="1"/>
  </si>
  <si>
    <t>固有ベクトル</t>
    <rPh sb="0" eb="2">
      <t>コユウ</t>
    </rPh>
    <phoneticPr fontId="1"/>
  </si>
  <si>
    <t>特異値</t>
    <rPh sb="0" eb="3">
      <t>トクイチ</t>
    </rPh>
    <phoneticPr fontId="1"/>
  </si>
  <si>
    <t>Val</t>
    <phoneticPr fontId="1"/>
  </si>
  <si>
    <t>Rowind</t>
    <phoneticPr fontId="1"/>
  </si>
  <si>
    <t>Colind</t>
    <phoneticPr fontId="1"/>
  </si>
  <si>
    <t>COO 形式</t>
    <rPh sb="4" eb="6">
      <t>ケイシキ</t>
    </rPh>
    <phoneticPr fontId="1"/>
  </si>
  <si>
    <t>N</t>
    <phoneticPr fontId="1"/>
  </si>
  <si>
    <t>ベース (0/1)</t>
    <phoneticPr fontId="1"/>
  </si>
  <si>
    <t>Which</t>
    <phoneticPr fontId="1"/>
  </si>
  <si>
    <t>Nev</t>
    <phoneticPr fontId="1"/>
  </si>
  <si>
    <t>L</t>
  </si>
  <si>
    <t>Uplo</t>
    <phoneticPr fontId="1"/>
  </si>
  <si>
    <t>LM</t>
  </si>
  <si>
    <t>A</t>
    <phoneticPr fontId="1"/>
  </si>
  <si>
    <t>B</t>
    <phoneticPr fontId="1"/>
  </si>
  <si>
    <t>M</t>
    <phoneticPr fontId="1"/>
  </si>
  <si>
    <t>Σ</t>
    <phoneticPr fontId="1"/>
  </si>
  <si>
    <t>固有値・固有ベクトル （複素疎行列）</t>
    <rPh sb="0" eb="3">
      <t>コユウチ</t>
    </rPh>
    <rPh sb="4" eb="6">
      <t>コユウ</t>
    </rPh>
    <rPh sb="12" eb="14">
      <t>フクソ</t>
    </rPh>
    <rPh sb="14" eb="15">
      <t>ソ</t>
    </rPh>
    <phoneticPr fontId="1"/>
  </si>
  <si>
    <t>2.2414679376529-1.58646222897121i</t>
  </si>
  <si>
    <t>0.36810988729711-0.45258828234371i</t>
  </si>
  <si>
    <t>0.759161024795594+0.283908245805898i</t>
  </si>
  <si>
    <t>-0.0404525594900616+0.033063490207553i</t>
  </si>
  <si>
    <t>一般化固有値・固有ベクトル （複素疎行列）</t>
    <rPh sb="0" eb="3">
      <t>イッパンカ</t>
    </rPh>
    <rPh sb="3" eb="6">
      <t>コユウチ</t>
    </rPh>
    <rPh sb="7" eb="9">
      <t>コユウ</t>
    </rPh>
    <rPh sb="15" eb="17">
      <t>フクソ</t>
    </rPh>
    <phoneticPr fontId="1"/>
  </si>
  <si>
    <t>特異値分解 （複素疎行列）</t>
    <rPh sb="0" eb="5">
      <t>トクイチブンカイ</t>
    </rPh>
    <rPh sb="7" eb="9">
      <t>フクソ</t>
    </rPh>
    <phoneticPr fontId="1"/>
  </si>
  <si>
    <t>1.93223539040898-1.80062256453324i</t>
    <phoneticPr fontId="1"/>
  </si>
  <si>
    <t>0.302578226047944-0.648151638366019i</t>
    <phoneticPr fontId="1"/>
  </si>
  <si>
    <t>0.620436869194732-0.466302394208059i</t>
    <phoneticPr fontId="1"/>
  </si>
  <si>
    <t>0.154884397439564-0.0574983027539891i</t>
    <phoneticPr fontId="1"/>
  </si>
  <si>
    <t>-0.246963110991103-0.550132820535748i</t>
  </si>
  <si>
    <t>0.510037572083399+0.172828125992991i</t>
  </si>
  <si>
    <t>-0.450648051781491+0.378512283728743i</t>
  </si>
  <si>
    <t>-0.651311544980107+0.128250638467115i</t>
  </si>
  <si>
    <t>-0.161327230343702-0.120735254831866i</t>
  </si>
  <si>
    <t>-0.479739768134733-0.537206964743339i</t>
  </si>
  <si>
    <t>-0.499319835042685-0.128907878805375i</t>
  </si>
  <si>
    <t>-0.524690775955828+0.515849447652865i</t>
  </si>
  <si>
    <t>-0.196074791420936-0.392703545014794i</t>
  </si>
  <si>
    <t>-0.15753661379531-0.28453540609849i</t>
  </si>
  <si>
    <t>0.612565981337884-0.158365264012802i</t>
  </si>
  <si>
    <t>-0.0663360465728555-0.699646130966984i</t>
  </si>
  <si>
    <t>右ユニタリ行列V・左ユニタリ行列U (左詰め)</t>
    <rPh sb="9" eb="10">
      <t>ヒダリ</t>
    </rPh>
    <rPh sb="14" eb="16">
      <t>ギョウレツ</t>
    </rPh>
    <rPh sb="19" eb="20">
      <t>ヒダリ</t>
    </rPh>
    <rPh sb="20" eb="21">
      <t>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</si>
</sst>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" xfId="0" applyBorder="1">
      <alignment vertical="center"/>
    </xf>
    <xf numFmtId="0" fontId="0" fillId="0" borderId="13" xfId="0" applyBorder="1">
      <alignment vertical="center"/>
    </xf>
    <xf numFmtId="0" fontId="0" fillId="0" borderId="3" xfId="0" applyBorder="1">
      <alignment vertical="center"/>
    </xf>
    <xf numFmtId="0" fontId="0" fillId="0" borderId="16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4" borderId="2" xfId="0" applyFill="1" applyBorder="1">
      <alignment vertical="center"/>
    </xf>
    <xf numFmtId="0" fontId="0" fillId="4" borderId="22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13DFD-1536-452E-9B31-EA651EBC9FAD}">
  <sheetPr codeName="Sheet10"/>
  <dimension ref="A1:P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19</v>
      </c>
    </row>
    <row r="2" spans="1:16" x14ac:dyDescent="0.2">
      <c r="A2" s="13"/>
    </row>
    <row r="3" spans="1:16" x14ac:dyDescent="0.2">
      <c r="A3" t="s">
        <v>7</v>
      </c>
    </row>
    <row r="4" spans="1:16" x14ac:dyDescent="0.2">
      <c r="A4" s="30" t="s">
        <v>8</v>
      </c>
      <c r="B4" s="31">
        <v>3</v>
      </c>
      <c r="E4" s="30" t="s">
        <v>10</v>
      </c>
      <c r="F4" s="31" t="s">
        <v>14</v>
      </c>
    </row>
    <row r="5" spans="1:16" x14ac:dyDescent="0.2">
      <c r="A5" s="30" t="s">
        <v>9</v>
      </c>
      <c r="B5" s="31">
        <v>0</v>
      </c>
      <c r="E5" s="30" t="s">
        <v>11</v>
      </c>
      <c r="F5" s="31">
        <v>1</v>
      </c>
    </row>
    <row r="8" spans="1:16" x14ac:dyDescent="0.2">
      <c r="A8" s="30" t="s">
        <v>4</v>
      </c>
      <c r="B8" s="30" t="s">
        <v>5</v>
      </c>
      <c r="C8" s="30" t="s">
        <v>6</v>
      </c>
      <c r="E8" s="1"/>
      <c r="F8" s="1" t="s">
        <v>0</v>
      </c>
      <c r="G8" s="2" t="s">
        <v>2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6" t="str">
        <f>COMPLEX(0.78,0.16)</f>
        <v>0.78+0.16i</v>
      </c>
      <c r="B9" s="26">
        <v>0</v>
      </c>
      <c r="C9" s="26">
        <v>0</v>
      </c>
      <c r="E9" s="5"/>
      <c r="F9" s="5" t="s">
        <v>1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7" t="str">
        <f>COMPLEX(0.73,0.63)</f>
        <v>0.73+0.63i</v>
      </c>
      <c r="B10" s="27">
        <v>1</v>
      </c>
      <c r="C10" s="27">
        <v>0</v>
      </c>
      <c r="E10" s="9">
        <v>1</v>
      </c>
      <c r="F10" s="20" t="s">
        <v>20</v>
      </c>
      <c r="G10" s="21" t="s">
        <v>21</v>
      </c>
      <c r="H10" s="14"/>
      <c r="I10" s="14"/>
      <c r="J10" s="14"/>
      <c r="K10" s="14"/>
      <c r="L10" s="14"/>
      <c r="M10" s="14"/>
      <c r="N10" s="14"/>
      <c r="O10" s="14"/>
      <c r="P10" s="15"/>
    </row>
    <row r="11" spans="1:16" x14ac:dyDescent="0.2">
      <c r="A11" s="27" t="str">
        <f>COMPLEX(0.23,-1.37)</f>
        <v>0.23-1.37i</v>
      </c>
      <c r="B11" s="27">
        <v>2</v>
      </c>
      <c r="C11" s="27">
        <v>0</v>
      </c>
      <c r="E11" s="10">
        <v>2</v>
      </c>
      <c r="F11" s="22"/>
      <c r="G11" s="23" t="s">
        <v>22</v>
      </c>
      <c r="H11" s="16"/>
      <c r="I11" s="16"/>
      <c r="J11" s="16"/>
      <c r="K11" s="16"/>
      <c r="L11" s="16"/>
      <c r="M11" s="16"/>
      <c r="N11" s="16"/>
      <c r="O11" s="16"/>
      <c r="P11" s="17"/>
    </row>
    <row r="12" spans="1:16" x14ac:dyDescent="0.2">
      <c r="A12" s="27" t="str">
        <f>COMPLEX(-0.9,-1.46)</f>
        <v>-0.9-1.46i</v>
      </c>
      <c r="B12" s="27">
        <v>0</v>
      </c>
      <c r="C12" s="27">
        <v>1</v>
      </c>
      <c r="E12" s="10">
        <v>3</v>
      </c>
      <c r="F12" s="22"/>
      <c r="G12" s="23" t="s">
        <v>23</v>
      </c>
      <c r="H12" s="16"/>
      <c r="I12" s="16"/>
      <c r="J12" s="16"/>
      <c r="K12" s="16"/>
      <c r="L12" s="16"/>
      <c r="M12" s="16"/>
      <c r="N12" s="16"/>
      <c r="O12" s="16"/>
      <c r="P12" s="17"/>
    </row>
    <row r="13" spans="1:16" x14ac:dyDescent="0.2">
      <c r="A13" s="28" t="str">
        <f>COMPLEX(1.58,-1.24)</f>
        <v>1.58-1.24i</v>
      </c>
      <c r="B13" s="28">
        <v>1</v>
      </c>
      <c r="C13" s="28">
        <v>1</v>
      </c>
      <c r="E13" s="10">
        <v>4</v>
      </c>
      <c r="F13" s="22"/>
      <c r="G13" s="23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6" t="str">
        <f>COMPLEX(0.79,0.64)</f>
        <v>0.79+0.64i</v>
      </c>
      <c r="B14" s="26">
        <v>2</v>
      </c>
      <c r="C14" s="26">
        <v>1</v>
      </c>
      <c r="E14" s="10">
        <v>5</v>
      </c>
      <c r="F14" s="22"/>
      <c r="G14" s="23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7" t="str">
        <f>COMPLEX(0.48,-1.08)</f>
        <v>0.48-1.08i</v>
      </c>
      <c r="B15" s="27">
        <v>0</v>
      </c>
      <c r="C15" s="27">
        <v>2</v>
      </c>
      <c r="E15" s="10">
        <v>6</v>
      </c>
      <c r="F15" s="22"/>
      <c r="G15" s="23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7" t="str">
        <f>COMPLEX(-0.41,-0.91)</f>
        <v>-0.41-0.91i</v>
      </c>
      <c r="B16" s="27">
        <v>1</v>
      </c>
      <c r="C16" s="27">
        <v>2</v>
      </c>
      <c r="E16" s="10">
        <v>7</v>
      </c>
      <c r="F16" s="22"/>
      <c r="G16" s="23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7" t="str">
        <f>COMPLEX(-0.73,-1.5)</f>
        <v>-0.73-1.5i</v>
      </c>
      <c r="B17" s="27">
        <v>2</v>
      </c>
      <c r="C17" s="27">
        <v>2</v>
      </c>
      <c r="E17" s="10">
        <v>8</v>
      </c>
      <c r="F17" s="22"/>
      <c r="G17" s="23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28"/>
      <c r="B18" s="28"/>
      <c r="C18" s="28"/>
      <c r="E18" s="10">
        <v>9</v>
      </c>
      <c r="F18" s="22"/>
      <c r="G18" s="23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6"/>
      <c r="B19" s="26"/>
      <c r="C19" s="26"/>
      <c r="E19" s="11">
        <v>10</v>
      </c>
      <c r="F19" s="24"/>
      <c r="G19" s="25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7"/>
      <c r="B20" s="27"/>
      <c r="C20" s="27"/>
    </row>
    <row r="21" spans="1:16" x14ac:dyDescent="0.2">
      <c r="A21" s="27"/>
      <c r="B21" s="27"/>
      <c r="C21" s="27"/>
    </row>
    <row r="22" spans="1:16" x14ac:dyDescent="0.2">
      <c r="A22" s="27"/>
      <c r="B22" s="27"/>
      <c r="C22" s="27"/>
    </row>
    <row r="23" spans="1:16" x14ac:dyDescent="0.2">
      <c r="A23" s="28"/>
      <c r="B23" s="28"/>
      <c r="C23" s="28"/>
    </row>
    <row r="24" spans="1:16" x14ac:dyDescent="0.2">
      <c r="A24" s="26"/>
      <c r="B24" s="26"/>
      <c r="C24" s="26"/>
    </row>
    <row r="25" spans="1:16" x14ac:dyDescent="0.2">
      <c r="A25" s="27"/>
      <c r="B25" s="27"/>
      <c r="C25" s="27"/>
    </row>
    <row r="26" spans="1:16" x14ac:dyDescent="0.2">
      <c r="A26" s="27"/>
      <c r="B26" s="27"/>
      <c r="C26" s="27"/>
    </row>
    <row r="27" spans="1:16" x14ac:dyDescent="0.2">
      <c r="A27" s="29"/>
      <c r="B27" s="29"/>
      <c r="C27" s="29"/>
    </row>
    <row r="28" spans="1:16" x14ac:dyDescent="0.2">
      <c r="A28" s="28"/>
      <c r="B28" s="28"/>
      <c r="C28" s="28"/>
    </row>
  </sheetData>
  <phoneticPr fontId="1"/>
  <dataValidations count="1">
    <dataValidation type="list" allowBlank="1" showInputMessage="1" showErrorMessage="1" sqref="F4" xr:uid="{9BE28CBA-3187-4733-9E68-3A3CBA2C5804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N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67CA-FB7F-480D-B217-B35769CB179A}">
  <sheetPr codeName="Sheet2"/>
  <dimension ref="A1:T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0" x14ac:dyDescent="0.2">
      <c r="A1" s="12" t="s">
        <v>24</v>
      </c>
    </row>
    <row r="2" spans="1:20" x14ac:dyDescent="0.2">
      <c r="A2" s="13"/>
    </row>
    <row r="3" spans="1:20" x14ac:dyDescent="0.2">
      <c r="A3" t="s">
        <v>7</v>
      </c>
    </row>
    <row r="4" spans="1:20" x14ac:dyDescent="0.2">
      <c r="A4" s="30" t="s">
        <v>8</v>
      </c>
      <c r="B4" s="31">
        <v>3</v>
      </c>
      <c r="I4" s="30" t="s">
        <v>10</v>
      </c>
      <c r="J4" s="31" t="s">
        <v>14</v>
      </c>
    </row>
    <row r="5" spans="1:20" x14ac:dyDescent="0.2">
      <c r="A5" s="30" t="s">
        <v>9</v>
      </c>
      <c r="B5" s="31">
        <v>0</v>
      </c>
      <c r="E5" s="30" t="s">
        <v>9</v>
      </c>
      <c r="F5" s="31">
        <v>0</v>
      </c>
      <c r="I5" s="30" t="s">
        <v>11</v>
      </c>
      <c r="J5" s="31">
        <v>1</v>
      </c>
    </row>
    <row r="6" spans="1:20" x14ac:dyDescent="0.2">
      <c r="E6" s="30" t="s">
        <v>13</v>
      </c>
      <c r="F6" s="31" t="s">
        <v>12</v>
      </c>
    </row>
    <row r="7" spans="1:20" x14ac:dyDescent="0.2">
      <c r="A7" t="s">
        <v>15</v>
      </c>
      <c r="E7" t="s">
        <v>16</v>
      </c>
    </row>
    <row r="8" spans="1:20" x14ac:dyDescent="0.2">
      <c r="A8" s="30" t="s">
        <v>4</v>
      </c>
      <c r="B8" s="30" t="s">
        <v>5</v>
      </c>
      <c r="C8" s="30" t="s">
        <v>6</v>
      </c>
      <c r="E8" s="30" t="s">
        <v>4</v>
      </c>
      <c r="F8" s="30" t="s">
        <v>5</v>
      </c>
      <c r="G8" s="30" t="s">
        <v>6</v>
      </c>
      <c r="I8" s="1"/>
      <c r="J8" s="1" t="s">
        <v>0</v>
      </c>
      <c r="K8" s="2" t="s">
        <v>2</v>
      </c>
      <c r="L8" s="3"/>
      <c r="M8" s="3"/>
      <c r="N8" s="3"/>
      <c r="O8" s="3"/>
      <c r="P8" s="3"/>
      <c r="Q8" s="3"/>
      <c r="R8" s="3"/>
      <c r="S8" s="3"/>
      <c r="T8" s="4"/>
    </row>
    <row r="9" spans="1:20" x14ac:dyDescent="0.2">
      <c r="A9" s="26" t="str">
        <f>COMPLEX(0.78,0.16)</f>
        <v>0.78+0.16i</v>
      </c>
      <c r="B9" s="26">
        <v>0</v>
      </c>
      <c r="C9" s="26">
        <v>0</v>
      </c>
      <c r="E9" s="26" t="str">
        <f>COMPLEX(2.4,0)</f>
        <v>2.4</v>
      </c>
      <c r="F9" s="26">
        <v>0</v>
      </c>
      <c r="G9" s="26">
        <v>0</v>
      </c>
      <c r="I9" s="5"/>
      <c r="J9" s="5" t="s">
        <v>1</v>
      </c>
      <c r="K9" s="6">
        <v>1</v>
      </c>
      <c r="L9" s="7">
        <v>2</v>
      </c>
      <c r="M9" s="7">
        <v>3</v>
      </c>
      <c r="N9" s="7">
        <v>4</v>
      </c>
      <c r="O9" s="7">
        <v>5</v>
      </c>
      <c r="P9" s="7">
        <v>6</v>
      </c>
      <c r="Q9" s="7">
        <v>7</v>
      </c>
      <c r="R9" s="7">
        <v>8</v>
      </c>
      <c r="S9" s="7">
        <v>9</v>
      </c>
      <c r="T9" s="8">
        <v>10</v>
      </c>
    </row>
    <row r="10" spans="1:20" x14ac:dyDescent="0.2">
      <c r="A10" s="27" t="str">
        <f>COMPLEX(0.73,0.63)</f>
        <v>0.73+0.63i</v>
      </c>
      <c r="B10" s="27">
        <v>1</v>
      </c>
      <c r="C10" s="27">
        <v>0</v>
      </c>
      <c r="E10" s="27" t="str">
        <f>COMPLEX(-1.5,-0.46)</f>
        <v>-1.5-0.46i</v>
      </c>
      <c r="F10" s="27">
        <v>1</v>
      </c>
      <c r="G10" s="27">
        <v>0</v>
      </c>
      <c r="I10" s="9">
        <v>1</v>
      </c>
      <c r="J10" s="20" t="s">
        <v>26</v>
      </c>
      <c r="K10" s="21" t="s">
        <v>27</v>
      </c>
      <c r="L10" s="14"/>
      <c r="M10" s="14"/>
      <c r="N10" s="14"/>
      <c r="O10" s="14"/>
      <c r="P10" s="14"/>
      <c r="Q10" s="14"/>
      <c r="R10" s="14"/>
      <c r="S10" s="14"/>
      <c r="T10" s="15"/>
    </row>
    <row r="11" spans="1:20" x14ac:dyDescent="0.2">
      <c r="A11" s="27" t="str">
        <f>COMPLEX(0.23,-1.37)</f>
        <v>0.23-1.37i</v>
      </c>
      <c r="B11" s="27">
        <v>2</v>
      </c>
      <c r="C11" s="27">
        <v>0</v>
      </c>
      <c r="E11" s="27" t="str">
        <f>COMPLEX(0.16,-0.23)</f>
        <v>0.16-0.23i</v>
      </c>
      <c r="F11" s="27">
        <v>2</v>
      </c>
      <c r="G11" s="27">
        <v>0</v>
      </c>
      <c r="I11" s="10">
        <v>2</v>
      </c>
      <c r="J11" s="22"/>
      <c r="K11" s="23" t="s">
        <v>28</v>
      </c>
      <c r="L11" s="16"/>
      <c r="M11" s="16"/>
      <c r="N11" s="16"/>
      <c r="O11" s="16"/>
      <c r="P11" s="16"/>
      <c r="Q11" s="16"/>
      <c r="R11" s="16"/>
      <c r="S11" s="16"/>
      <c r="T11" s="17"/>
    </row>
    <row r="12" spans="1:20" x14ac:dyDescent="0.2">
      <c r="A12" s="27" t="str">
        <f>COMPLEX(-0.9,-1.46)</f>
        <v>-0.9-1.46i</v>
      </c>
      <c r="B12" s="27">
        <v>0</v>
      </c>
      <c r="C12" s="27">
        <v>1</v>
      </c>
      <c r="E12" s="27" t="str">
        <f>COMPLEX(2.44,0)</f>
        <v>2.44</v>
      </c>
      <c r="F12" s="27">
        <v>1</v>
      </c>
      <c r="G12" s="27">
        <v>1</v>
      </c>
      <c r="I12" s="10">
        <v>3</v>
      </c>
      <c r="J12" s="22"/>
      <c r="K12" s="23" t="s">
        <v>29</v>
      </c>
      <c r="L12" s="16"/>
      <c r="M12" s="16"/>
      <c r="N12" s="16"/>
      <c r="O12" s="16"/>
      <c r="P12" s="16"/>
      <c r="Q12" s="16"/>
      <c r="R12" s="16"/>
      <c r="S12" s="16"/>
      <c r="T12" s="17"/>
    </row>
    <row r="13" spans="1:20" x14ac:dyDescent="0.2">
      <c r="A13" s="28" t="str">
        <f>COMPLEX(1.58,-1.24)</f>
        <v>1.58-1.24i</v>
      </c>
      <c r="B13" s="28">
        <v>1</v>
      </c>
      <c r="C13" s="28">
        <v>1</v>
      </c>
      <c r="E13" s="28" t="str">
        <f>COMPLEX(-0.12,-0.04)</f>
        <v>-0.12-0.04i</v>
      </c>
      <c r="F13" s="28">
        <v>2</v>
      </c>
      <c r="G13" s="28">
        <v>1</v>
      </c>
      <c r="I13" s="10">
        <v>4</v>
      </c>
      <c r="J13" s="22"/>
      <c r="K13" s="23"/>
      <c r="L13" s="16"/>
      <c r="M13" s="16"/>
      <c r="N13" s="16"/>
      <c r="O13" s="16"/>
      <c r="P13" s="16"/>
      <c r="Q13" s="16"/>
      <c r="R13" s="16"/>
      <c r="S13" s="16"/>
      <c r="T13" s="17"/>
    </row>
    <row r="14" spans="1:20" x14ac:dyDescent="0.2">
      <c r="A14" s="26" t="str">
        <f>COMPLEX(0.79,0.64)</f>
        <v>0.79+0.64i</v>
      </c>
      <c r="B14" s="26">
        <v>2</v>
      </c>
      <c r="C14" s="26">
        <v>1</v>
      </c>
      <c r="E14" s="26" t="str">
        <f>COMPLEX(2.05,0)</f>
        <v>2.05</v>
      </c>
      <c r="F14" s="26">
        <v>2</v>
      </c>
      <c r="G14" s="26">
        <v>2</v>
      </c>
      <c r="I14" s="10">
        <v>5</v>
      </c>
      <c r="J14" s="22"/>
      <c r="K14" s="23"/>
      <c r="L14" s="16"/>
      <c r="M14" s="16"/>
      <c r="N14" s="16"/>
      <c r="O14" s="16"/>
      <c r="P14" s="16"/>
      <c r="Q14" s="16"/>
      <c r="R14" s="16"/>
      <c r="S14" s="16"/>
      <c r="T14" s="17"/>
    </row>
    <row r="15" spans="1:20" x14ac:dyDescent="0.2">
      <c r="A15" s="27" t="str">
        <f>COMPLEX(0.48,-1.08)</f>
        <v>0.48-1.08i</v>
      </c>
      <c r="B15" s="27">
        <v>0</v>
      </c>
      <c r="C15" s="27">
        <v>2</v>
      </c>
      <c r="E15" s="27"/>
      <c r="F15" s="27"/>
      <c r="G15" s="27"/>
      <c r="I15" s="10">
        <v>6</v>
      </c>
      <c r="J15" s="22"/>
      <c r="K15" s="23"/>
      <c r="L15" s="16"/>
      <c r="M15" s="16"/>
      <c r="N15" s="16"/>
      <c r="O15" s="16"/>
      <c r="P15" s="16"/>
      <c r="Q15" s="16"/>
      <c r="R15" s="16"/>
      <c r="S15" s="16"/>
      <c r="T15" s="17"/>
    </row>
    <row r="16" spans="1:20" x14ac:dyDescent="0.2">
      <c r="A16" s="27" t="str">
        <f>COMPLEX(-0.41,-0.91)</f>
        <v>-0.41-0.91i</v>
      </c>
      <c r="B16" s="27">
        <v>1</v>
      </c>
      <c r="C16" s="27">
        <v>2</v>
      </c>
      <c r="E16" s="27"/>
      <c r="F16" s="27"/>
      <c r="G16" s="27"/>
      <c r="I16" s="10">
        <v>7</v>
      </c>
      <c r="J16" s="22"/>
      <c r="K16" s="23"/>
      <c r="L16" s="16"/>
      <c r="M16" s="16"/>
      <c r="N16" s="16"/>
      <c r="O16" s="16"/>
      <c r="P16" s="16"/>
      <c r="Q16" s="16"/>
      <c r="R16" s="16"/>
      <c r="S16" s="16"/>
      <c r="T16" s="17"/>
    </row>
    <row r="17" spans="1:20" x14ac:dyDescent="0.2">
      <c r="A17" s="27" t="str">
        <f>COMPLEX(-0.73,-1.5)</f>
        <v>-0.73-1.5i</v>
      </c>
      <c r="B17" s="27">
        <v>2</v>
      </c>
      <c r="C17" s="27">
        <v>2</v>
      </c>
      <c r="E17" s="27"/>
      <c r="F17" s="27"/>
      <c r="G17" s="27"/>
      <c r="I17" s="10">
        <v>8</v>
      </c>
      <c r="J17" s="22"/>
      <c r="K17" s="23"/>
      <c r="L17" s="16"/>
      <c r="M17" s="16"/>
      <c r="N17" s="16"/>
      <c r="O17" s="16"/>
      <c r="P17" s="16"/>
      <c r="Q17" s="16"/>
      <c r="R17" s="16"/>
      <c r="S17" s="16"/>
      <c r="T17" s="17"/>
    </row>
    <row r="18" spans="1:20" x14ac:dyDescent="0.2">
      <c r="A18" s="28"/>
      <c r="B18" s="28"/>
      <c r="C18" s="28"/>
      <c r="E18" s="28"/>
      <c r="F18" s="28"/>
      <c r="G18" s="28"/>
      <c r="I18" s="10">
        <v>9</v>
      </c>
      <c r="J18" s="22"/>
      <c r="K18" s="23"/>
      <c r="L18" s="16"/>
      <c r="M18" s="16"/>
      <c r="N18" s="16"/>
      <c r="O18" s="16"/>
      <c r="P18" s="16"/>
      <c r="Q18" s="16"/>
      <c r="R18" s="16"/>
      <c r="S18" s="16"/>
      <c r="T18" s="17"/>
    </row>
    <row r="19" spans="1:20" x14ac:dyDescent="0.2">
      <c r="A19" s="26"/>
      <c r="B19" s="26"/>
      <c r="C19" s="26"/>
      <c r="E19" s="26"/>
      <c r="F19" s="26"/>
      <c r="G19" s="26"/>
      <c r="I19" s="11">
        <v>10</v>
      </c>
      <c r="J19" s="24"/>
      <c r="K19" s="25"/>
      <c r="L19" s="18"/>
      <c r="M19" s="18"/>
      <c r="N19" s="18"/>
      <c r="O19" s="18"/>
      <c r="P19" s="18"/>
      <c r="Q19" s="18"/>
      <c r="R19" s="18"/>
      <c r="S19" s="18"/>
      <c r="T19" s="19"/>
    </row>
    <row r="20" spans="1:20" x14ac:dyDescent="0.2">
      <c r="A20" s="27"/>
      <c r="B20" s="27"/>
      <c r="C20" s="27"/>
      <c r="E20" s="27"/>
      <c r="F20" s="27"/>
      <c r="G20" s="27"/>
    </row>
    <row r="21" spans="1:20" x14ac:dyDescent="0.2">
      <c r="A21" s="27"/>
      <c r="B21" s="27"/>
      <c r="C21" s="27"/>
      <c r="E21" s="27"/>
      <c r="F21" s="27"/>
      <c r="G21" s="27"/>
    </row>
    <row r="22" spans="1:20" x14ac:dyDescent="0.2">
      <c r="A22" s="27"/>
      <c r="B22" s="27"/>
      <c r="C22" s="27"/>
      <c r="E22" s="27"/>
      <c r="F22" s="27"/>
      <c r="G22" s="27"/>
    </row>
    <row r="23" spans="1:20" x14ac:dyDescent="0.2">
      <c r="A23" s="28"/>
      <c r="B23" s="28"/>
      <c r="C23" s="28"/>
      <c r="E23" s="28"/>
      <c r="F23" s="28"/>
      <c r="G23" s="28"/>
    </row>
    <row r="24" spans="1:20" x14ac:dyDescent="0.2">
      <c r="A24" s="26"/>
      <c r="B24" s="26"/>
      <c r="C24" s="26"/>
      <c r="E24" s="26"/>
      <c r="F24" s="26"/>
      <c r="G24" s="26"/>
    </row>
    <row r="25" spans="1:20" x14ac:dyDescent="0.2">
      <c r="A25" s="27"/>
      <c r="B25" s="27"/>
      <c r="C25" s="27"/>
      <c r="E25" s="27"/>
      <c r="F25" s="27"/>
      <c r="G25" s="27"/>
    </row>
    <row r="26" spans="1:20" x14ac:dyDescent="0.2">
      <c r="A26" s="27"/>
      <c r="B26" s="27"/>
      <c r="C26" s="27"/>
      <c r="E26" s="27"/>
      <c r="F26" s="27"/>
      <c r="G26" s="27"/>
    </row>
    <row r="27" spans="1:20" x14ac:dyDescent="0.2">
      <c r="A27" s="29"/>
      <c r="B27" s="29"/>
      <c r="C27" s="29"/>
      <c r="E27" s="29"/>
      <c r="F27" s="29"/>
      <c r="G27" s="29"/>
    </row>
    <row r="28" spans="1:20" x14ac:dyDescent="0.2">
      <c r="A28" s="28"/>
      <c r="B28" s="28"/>
      <c r="C28" s="28"/>
      <c r="E28" s="28"/>
      <c r="F28" s="28"/>
      <c r="G28" s="28"/>
    </row>
  </sheetData>
  <phoneticPr fontId="1"/>
  <dataValidations count="2">
    <dataValidation type="list" allowBlank="1" showInputMessage="1" showErrorMessage="1" sqref="F6" xr:uid="{8520C75F-DD75-491A-9288-E3A27FD5B48D}">
      <formula1>"L, U"</formula1>
    </dataValidation>
    <dataValidation type="list" allowBlank="1" showInputMessage="1" showErrorMessage="1" sqref="J4" xr:uid="{4D477858-9CD7-4107-BFC6-4CA5383133AE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N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G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AE6BE-F0DF-4F3F-A2B8-A95CFF7ADD76}">
  <sheetPr codeName="Sheet11"/>
  <dimension ref="A1:P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25</v>
      </c>
    </row>
    <row r="2" spans="1:16" x14ac:dyDescent="0.2">
      <c r="A2" s="13"/>
    </row>
    <row r="3" spans="1:16" x14ac:dyDescent="0.2">
      <c r="A3" t="s">
        <v>7</v>
      </c>
    </row>
    <row r="4" spans="1:16" x14ac:dyDescent="0.2">
      <c r="A4" s="30" t="s">
        <v>17</v>
      </c>
      <c r="B4" s="31">
        <v>3</v>
      </c>
      <c r="E4" s="30" t="s">
        <v>10</v>
      </c>
      <c r="F4" s="31" t="s">
        <v>14</v>
      </c>
    </row>
    <row r="5" spans="1:16" x14ac:dyDescent="0.2">
      <c r="A5" s="30" t="s">
        <v>8</v>
      </c>
      <c r="B5" s="31">
        <v>3</v>
      </c>
      <c r="E5" s="30" t="s">
        <v>11</v>
      </c>
      <c r="F5" s="31">
        <v>2</v>
      </c>
    </row>
    <row r="6" spans="1:16" x14ac:dyDescent="0.2">
      <c r="A6" s="30" t="s">
        <v>9</v>
      </c>
      <c r="B6" s="31">
        <v>0</v>
      </c>
    </row>
    <row r="8" spans="1:16" x14ac:dyDescent="0.2">
      <c r="A8" s="30" t="s">
        <v>4</v>
      </c>
      <c r="B8" s="30" t="s">
        <v>5</v>
      </c>
      <c r="C8" s="30" t="s">
        <v>6</v>
      </c>
      <c r="E8" s="1"/>
      <c r="F8" s="1" t="s">
        <v>3</v>
      </c>
      <c r="G8" s="2" t="s">
        <v>42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6" t="str">
        <f>COMPLEX(0.2,-0.11)</f>
        <v>0.2-0.11i</v>
      </c>
      <c r="B9" s="26">
        <v>0</v>
      </c>
      <c r="C9" s="26">
        <v>0</v>
      </c>
      <c r="E9" s="5"/>
      <c r="F9" s="5" t="s">
        <v>18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7" t="str">
        <f>COMPLEX(-0.8,-0.92)</f>
        <v>-0.8-0.92i</v>
      </c>
      <c r="B10" s="27">
        <v>1</v>
      </c>
      <c r="C10" s="27">
        <v>0</v>
      </c>
      <c r="E10" s="9">
        <v>1</v>
      </c>
      <c r="F10" s="20">
        <v>2.0708403082188909</v>
      </c>
      <c r="G10" s="21" t="s">
        <v>30</v>
      </c>
      <c r="H10" s="14" t="s">
        <v>33</v>
      </c>
      <c r="I10" s="14" t="s">
        <v>36</v>
      </c>
      <c r="J10" s="14" t="s">
        <v>39</v>
      </c>
      <c r="K10" s="14"/>
      <c r="L10" s="14"/>
      <c r="M10" s="14"/>
      <c r="N10" s="14"/>
      <c r="O10" s="14"/>
      <c r="P10" s="15"/>
    </row>
    <row r="11" spans="1:16" x14ac:dyDescent="0.2">
      <c r="A11" s="27" t="str">
        <f>COMPLEX(0.71,0.59)</f>
        <v>0.71+0.59i</v>
      </c>
      <c r="B11" s="27">
        <v>2</v>
      </c>
      <c r="C11" s="27">
        <v>0</v>
      </c>
      <c r="E11" s="10">
        <v>2</v>
      </c>
      <c r="F11" s="22">
        <v>1.2351308476016285</v>
      </c>
      <c r="G11" s="23" t="s">
        <v>31</v>
      </c>
      <c r="H11" s="16" t="s">
        <v>34</v>
      </c>
      <c r="I11" s="16" t="s">
        <v>37</v>
      </c>
      <c r="J11" s="16" t="s">
        <v>40</v>
      </c>
      <c r="K11" s="16"/>
      <c r="L11" s="16"/>
      <c r="M11" s="16"/>
      <c r="N11" s="16"/>
      <c r="O11" s="16"/>
      <c r="P11" s="17"/>
    </row>
    <row r="12" spans="1:16" x14ac:dyDescent="0.2">
      <c r="A12" s="27" t="str">
        <f>COMPLEX(-0.93,-0.32)</f>
        <v>-0.93-0.32i</v>
      </c>
      <c r="B12" s="27">
        <v>0</v>
      </c>
      <c r="C12" s="27">
        <v>1</v>
      </c>
      <c r="E12" s="10">
        <v>3</v>
      </c>
      <c r="F12" s="22"/>
      <c r="G12" s="23" t="s">
        <v>32</v>
      </c>
      <c r="H12" s="16" t="s">
        <v>35</v>
      </c>
      <c r="I12" s="16" t="s">
        <v>38</v>
      </c>
      <c r="J12" s="16" t="s">
        <v>41</v>
      </c>
      <c r="K12" s="16"/>
      <c r="L12" s="16"/>
      <c r="M12" s="16"/>
      <c r="N12" s="16"/>
      <c r="O12" s="16"/>
      <c r="P12" s="17"/>
    </row>
    <row r="13" spans="1:16" x14ac:dyDescent="0.2">
      <c r="A13" s="28" t="str">
        <f>COMPLEX(-0.29,0.86)</f>
        <v>-0.29+0.86i</v>
      </c>
      <c r="B13" s="28">
        <v>1</v>
      </c>
      <c r="C13" s="28">
        <v>1</v>
      </c>
      <c r="E13" s="10">
        <v>4</v>
      </c>
      <c r="F13" s="22"/>
      <c r="G13" s="23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6" t="str">
        <f>COMPLEX(-0.15,0.19)</f>
        <v>-0.15+0.19i</v>
      </c>
      <c r="B14" s="26">
        <v>2</v>
      </c>
      <c r="C14" s="26">
        <v>1</v>
      </c>
      <c r="E14" s="10">
        <v>5</v>
      </c>
      <c r="F14" s="22"/>
      <c r="G14" s="23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7" t="str">
        <f>COMPLEX(0.81,0.37)</f>
        <v>0.81+0.37i</v>
      </c>
      <c r="B15" s="27">
        <v>0</v>
      </c>
      <c r="C15" s="27">
        <v>2</v>
      </c>
      <c r="E15" s="10">
        <v>6</v>
      </c>
      <c r="F15" s="22"/>
      <c r="G15" s="23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7" t="str">
        <f>COMPLEX(0.64,0.51)</f>
        <v>0.64+0.51i</v>
      </c>
      <c r="B16" s="27">
        <v>1</v>
      </c>
      <c r="C16" s="27">
        <v>2</v>
      </c>
      <c r="E16" s="10">
        <v>7</v>
      </c>
      <c r="F16" s="22"/>
      <c r="G16" s="23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7" t="str">
        <f>COMPLEX(0.2,0.94)</f>
        <v>0.2+0.94i</v>
      </c>
      <c r="B17" s="27">
        <v>2</v>
      </c>
      <c r="C17" s="27">
        <v>2</v>
      </c>
      <c r="E17" s="10">
        <v>8</v>
      </c>
      <c r="F17" s="22"/>
      <c r="G17" s="23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28"/>
      <c r="B18" s="28"/>
      <c r="C18" s="28"/>
      <c r="E18" s="10">
        <v>9</v>
      </c>
      <c r="F18" s="22"/>
      <c r="G18" s="23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6"/>
      <c r="B19" s="26"/>
      <c r="C19" s="26"/>
      <c r="E19" s="11">
        <v>10</v>
      </c>
      <c r="F19" s="24"/>
      <c r="G19" s="25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7"/>
      <c r="B20" s="27"/>
      <c r="C20" s="27"/>
    </row>
    <row r="21" spans="1:16" x14ac:dyDescent="0.2">
      <c r="A21" s="27"/>
      <c r="B21" s="27"/>
      <c r="C21" s="27"/>
    </row>
    <row r="22" spans="1:16" x14ac:dyDescent="0.2">
      <c r="A22" s="27"/>
      <c r="B22" s="27"/>
      <c r="C22" s="27"/>
    </row>
    <row r="23" spans="1:16" x14ac:dyDescent="0.2">
      <c r="A23" s="28"/>
      <c r="B23" s="28"/>
      <c r="C23" s="28"/>
    </row>
    <row r="24" spans="1:16" x14ac:dyDescent="0.2">
      <c r="A24" s="26"/>
      <c r="B24" s="26"/>
      <c r="C24" s="26"/>
    </row>
    <row r="25" spans="1:16" x14ac:dyDescent="0.2">
      <c r="A25" s="27"/>
      <c r="B25" s="27"/>
      <c r="C25" s="27"/>
    </row>
    <row r="26" spans="1:16" x14ac:dyDescent="0.2">
      <c r="A26" s="27"/>
      <c r="B26" s="27"/>
      <c r="C26" s="27"/>
    </row>
    <row r="27" spans="1:16" x14ac:dyDescent="0.2">
      <c r="A27" s="29"/>
      <c r="B27" s="29"/>
      <c r="C27" s="29"/>
    </row>
    <row r="28" spans="1:16" x14ac:dyDescent="0.2">
      <c r="A28" s="28"/>
      <c r="B28" s="28"/>
      <c r="C28" s="28"/>
    </row>
  </sheetData>
  <phoneticPr fontId="1"/>
  <dataValidations disablePrompts="1" count="1">
    <dataValidation type="list" allowBlank="1" showInputMessage="1" showErrorMessage="1" sqref="F4" xr:uid="{F540E440-9BE7-4185-832C-1EC37A8343BF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SVD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S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NSym</vt:lpstr>
      <vt:lpstr>NSym (GNEP)</vt:lpstr>
      <vt:lpstr>SVD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User</cp:lastModifiedBy>
  <dcterms:created xsi:type="dcterms:W3CDTF">2024-07-26T04:57:12Z</dcterms:created>
  <dcterms:modified xsi:type="dcterms:W3CDTF">2024-07-27T01:26:26Z</dcterms:modified>
</cp:coreProperties>
</file>