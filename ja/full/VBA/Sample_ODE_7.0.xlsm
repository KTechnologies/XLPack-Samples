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filterPrivacy="1" codeName="ThisWorkbook" defaultThemeVersion="124226"/>
  <xr:revisionPtr revIDLastSave="0" documentId="13_ncr:1_{FFDDB8A2-5242-4395-A7B5-61204BF5A0E2}" xr6:coauthVersionLast="47" xr6:coauthVersionMax="47" xr10:uidLastSave="{00000000-0000-0000-0000-000000000000}"/>
  <bookViews>
    <workbookView xWindow="0" yWindow="0" windowWidth="19200" windowHeight="11280" xr2:uid="{00000000-000D-0000-FFFF-FFFF00000000}"/>
  </bookViews>
  <sheets>
    <sheet name="ODE" sheetId="1" r:id="rId1"/>
    <sheet name="ODE2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4" l="1"/>
  <c r="B14" i="4"/>
  <c r="B13" i="4"/>
  <c r="E58" i="4"/>
  <c r="E58" i="1"/>
  <c r="B14" i="1" l="1"/>
  <c r="B13" i="1"/>
</calcChain>
</file>

<file path=xl/sharedStrings.xml><?xml version="1.0" encoding="utf-8"?>
<sst xmlns="http://schemas.openxmlformats.org/spreadsheetml/2006/main" count="56" uniqueCount="40">
  <si>
    <t>t</t>
    <phoneticPr fontId="3"/>
  </si>
  <si>
    <t>y1</t>
    <phoneticPr fontId="3"/>
  </si>
  <si>
    <t>y2</t>
    <phoneticPr fontId="3"/>
  </si>
  <si>
    <t>y3</t>
    <phoneticPr fontId="3"/>
  </si>
  <si>
    <t>y4</t>
    <phoneticPr fontId="3"/>
  </si>
  <si>
    <t xml:space="preserve">n = </t>
    <phoneticPr fontId="3"/>
  </si>
  <si>
    <t xml:space="preserve">t = </t>
    <phoneticPr fontId="3"/>
  </si>
  <si>
    <t xml:space="preserve">y1 = </t>
    <phoneticPr fontId="3"/>
  </si>
  <si>
    <t xml:space="preserve">y2 = </t>
    <phoneticPr fontId="3"/>
  </si>
  <si>
    <t xml:space="preserve">y3 = </t>
    <phoneticPr fontId="3"/>
  </si>
  <si>
    <t xml:space="preserve">y4 = </t>
    <phoneticPr fontId="3"/>
  </si>
  <si>
    <t xml:space="preserve">dy1/dt = </t>
    <phoneticPr fontId="3"/>
  </si>
  <si>
    <t xml:space="preserve">dy2/dt = </t>
    <phoneticPr fontId="3"/>
  </si>
  <si>
    <t xml:space="preserve">dy3/dt = </t>
    <phoneticPr fontId="3"/>
  </si>
  <si>
    <t xml:space="preserve">dy4/dt = </t>
    <phoneticPr fontId="3"/>
  </si>
  <si>
    <t>例: dy1/dt=-y2, dy2/dt=y1</t>
    <rPh sb="0" eb="1">
      <t>レイ</t>
    </rPh>
    <phoneticPr fontId="3"/>
  </si>
  <si>
    <t>微分方程式の定義</t>
    <rPh sb="0" eb="5">
      <t>ビブンホウテイシキ</t>
    </rPh>
    <rPh sb="6" eb="8">
      <t>テイギ</t>
    </rPh>
    <phoneticPr fontId="3"/>
  </si>
  <si>
    <t>初期値 -&gt;</t>
    <rPh sb="0" eb="3">
      <t>ショキチ</t>
    </rPh>
    <phoneticPr fontId="3"/>
  </si>
  <si>
    <t>常微分方程式の初期値問題</t>
    <rPh sb="0" eb="6">
      <t>ジョウビブンホウテイシキ</t>
    </rPh>
    <rPh sb="7" eb="10">
      <t>ショキチ</t>
    </rPh>
    <rPh sb="10" eb="12">
      <t>モンダイ</t>
    </rPh>
    <phoneticPr fontId="3"/>
  </si>
  <si>
    <t>使用プログラム</t>
    <rPh sb="0" eb="2">
      <t>シヨウ</t>
    </rPh>
    <phoneticPr fontId="3"/>
  </si>
  <si>
    <t xml:space="preserve">Prog = </t>
    <phoneticPr fontId="3"/>
  </si>
  <si>
    <t>関数評価回数</t>
    <rPh sb="0" eb="2">
      <t>カンスウ</t>
    </rPh>
    <rPh sb="2" eb="4">
      <t>ヒョウカ</t>
    </rPh>
    <rPh sb="4" eb="6">
      <t>カイスウ</t>
    </rPh>
    <phoneticPr fontId="3"/>
  </si>
  <si>
    <t xml:space="preserve">Tol = </t>
    <phoneticPr fontId="3"/>
  </si>
  <si>
    <t xml:space="preserve">RevCom = </t>
    <phoneticPr fontId="3"/>
  </si>
  <si>
    <t>常微分方程式の初期値問題(2階微分方程式)</t>
    <rPh sb="0" eb="6">
      <t>ジョウビブンホウテイシキ</t>
    </rPh>
    <rPh sb="7" eb="10">
      <t>ショキチ</t>
    </rPh>
    <rPh sb="10" eb="12">
      <t>モンダイ</t>
    </rPh>
    <rPh sb="14" eb="15">
      <t>カイ</t>
    </rPh>
    <rPh sb="15" eb="17">
      <t>ビブン</t>
    </rPh>
    <rPh sb="17" eb="20">
      <t>ホウテイシキ</t>
    </rPh>
    <phoneticPr fontId="3"/>
  </si>
  <si>
    <t>y1'</t>
    <phoneticPr fontId="3"/>
  </si>
  <si>
    <t>y2'</t>
    <phoneticPr fontId="3"/>
  </si>
  <si>
    <t xml:space="preserve">d2y1/dt2 = </t>
    <phoneticPr fontId="3"/>
  </si>
  <si>
    <t xml:space="preserve">d2y2/dt2 = </t>
    <phoneticPr fontId="3"/>
  </si>
  <si>
    <t xml:space="preserve">Dense = </t>
    <phoneticPr fontId="3"/>
  </si>
  <si>
    <t xml:space="preserve">Ifcn (*) = </t>
    <phoneticPr fontId="3"/>
  </si>
  <si>
    <t>(*) Ifcn=1(dyn/dtがtに依存), =0(非依存)</t>
    <rPh sb="20" eb="22">
      <t>イゾン</t>
    </rPh>
    <rPh sb="28" eb="29">
      <t>ヒ</t>
    </rPh>
    <rPh sb="29" eb="31">
      <t>イゾン</t>
    </rPh>
    <phoneticPr fontId="3"/>
  </si>
  <si>
    <t xml:space="preserve">   (Rodas, Seulexのみで使用)</t>
    <rPh sb="20" eb="22">
      <t>シヨウ</t>
    </rPh>
    <phoneticPr fontId="3"/>
  </si>
  <si>
    <t>密出力 (**)</t>
    <rPh sb="0" eb="1">
      <t>ミツ</t>
    </rPh>
    <rPh sb="1" eb="2">
      <t>デ</t>
    </rPh>
    <phoneticPr fontId="3"/>
  </si>
  <si>
    <t>(**) Deabm, Debdf では無効</t>
    <rPh sb="20" eb="22">
      <t>ムコウ</t>
    </rPh>
    <phoneticPr fontId="3"/>
  </si>
  <si>
    <t>d2y1/dt2 = -y1/r, d2y2/dt2 = -y2/r, r = (y1^2 + y2^2)^(3/2)</t>
    <phoneticPr fontId="3"/>
  </si>
  <si>
    <t>t = 0 で y1 = 1, y2 = 0, dy1/dt = 0, dy2/dt = sqrt(3)</t>
    <phoneticPr fontId="3"/>
  </si>
  <si>
    <t>例:</t>
    <rPh sb="0" eb="1">
      <t>レイ</t>
    </rPh>
    <phoneticPr fontId="3"/>
  </si>
  <si>
    <t>(**) Dopn1210 では無効, Dopn86では</t>
    <rPh sb="16" eb="18">
      <t>ムコウ</t>
    </rPh>
    <phoneticPr fontId="3"/>
  </si>
  <si>
    <t>　　y のみ補間する (y' の値は不定)</t>
    <rPh sb="6" eb="8">
      <t>ホカン</t>
    </rPh>
    <rPh sb="16" eb="17">
      <t>アタイ</t>
    </rPh>
    <rPh sb="18" eb="20">
      <t>フテイ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</si>
</sst>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1" xfId="0" applyFill="1" applyBorder="1" applyAlignment="1">
      <alignment horizontal="center" vertical="center"/>
    </xf>
    <xf numFmtId="0" fontId="0" fillId="3" borderId="2" xfId="0" applyFill="1" applyBorder="1">
      <alignment vertical="center"/>
    </xf>
    <xf numFmtId="0" fontId="0" fillId="0" borderId="2" xfId="0" applyBorder="1">
      <alignment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>
      <alignment vertical="center"/>
    </xf>
    <xf numFmtId="0" fontId="0" fillId="3" borderId="3" xfId="0" applyFill="1" applyBorder="1">
      <alignment vertical="center"/>
    </xf>
    <xf numFmtId="0" fontId="0" fillId="0" borderId="3" xfId="0" applyBorder="1">
      <alignment vertical="center"/>
    </xf>
    <xf numFmtId="11" fontId="0" fillId="3" borderId="1" xfId="0" applyNumberFormat="1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4" xfId="0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0" borderId="5" xfId="0" applyBorder="1">
      <alignment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165100</xdr:rowOff>
        </xdr:from>
        <xdr:to>
          <xdr:col>3</xdr:col>
          <xdr:colOff>1155700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165100</xdr:rowOff>
        </xdr:from>
        <xdr:to>
          <xdr:col>1</xdr:col>
          <xdr:colOff>1181100</xdr:colOff>
          <xdr:row>2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RKF45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165100</xdr:rowOff>
        </xdr:from>
        <xdr:to>
          <xdr:col>3</xdr:col>
          <xdr:colOff>1155700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165100</xdr:rowOff>
        </xdr:from>
        <xdr:to>
          <xdr:col>1</xdr:col>
          <xdr:colOff>1181100</xdr:colOff>
          <xdr:row>2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RKF45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8"/>
  <sheetViews>
    <sheetView tabSelected="1" workbookViewId="0"/>
  </sheetViews>
  <sheetFormatPr defaultRowHeight="13" x14ac:dyDescent="0.2"/>
  <cols>
    <col min="1" max="1" width="10.6328125" customWidth="1"/>
    <col min="2" max="2" width="15.6328125" customWidth="1"/>
    <col min="3" max="3" width="12.6328125" customWidth="1"/>
    <col min="4" max="4" width="15.6328125" customWidth="1"/>
    <col min="5" max="5" width="12" customWidth="1"/>
    <col min="6" max="9" width="15.6328125" customWidth="1"/>
  </cols>
  <sheetData>
    <row r="1" spans="1:9" x14ac:dyDescent="0.2">
      <c r="A1" s="1" t="s">
        <v>18</v>
      </c>
    </row>
    <row r="2" spans="1:9" x14ac:dyDescent="0.2">
      <c r="A2" s="2"/>
    </row>
    <row r="3" spans="1:9" x14ac:dyDescent="0.2">
      <c r="F3" t="s">
        <v>15</v>
      </c>
    </row>
    <row r="4" spans="1:9" x14ac:dyDescent="0.2">
      <c r="A4" s="3"/>
    </row>
    <row r="5" spans="1:9" x14ac:dyDescent="0.2">
      <c r="A5" t="s">
        <v>16</v>
      </c>
    </row>
    <row r="6" spans="1:9" x14ac:dyDescent="0.2">
      <c r="A6" s="7" t="s">
        <v>5</v>
      </c>
      <c r="B6" s="8">
        <v>2</v>
      </c>
      <c r="D6" s="4" t="s">
        <v>0</v>
      </c>
      <c r="E6" s="4" t="s">
        <v>21</v>
      </c>
      <c r="F6" s="4" t="s">
        <v>1</v>
      </c>
      <c r="G6" s="4" t="s">
        <v>2</v>
      </c>
      <c r="H6" s="4" t="s">
        <v>3</v>
      </c>
      <c r="I6" s="4" t="s">
        <v>4</v>
      </c>
    </row>
    <row r="7" spans="1:9" x14ac:dyDescent="0.2">
      <c r="A7" s="7" t="s">
        <v>22</v>
      </c>
      <c r="B7" s="11">
        <v>1E-10</v>
      </c>
      <c r="C7" s="3" t="s">
        <v>17</v>
      </c>
      <c r="D7" s="8">
        <v>0</v>
      </c>
      <c r="E7" s="12"/>
      <c r="F7" s="8">
        <v>1</v>
      </c>
      <c r="G7" s="8">
        <v>0</v>
      </c>
      <c r="H7" s="8"/>
      <c r="I7" s="8"/>
    </row>
    <row r="8" spans="1:9" x14ac:dyDescent="0.2">
      <c r="A8" s="7" t="s">
        <v>6</v>
      </c>
      <c r="B8" s="12"/>
      <c r="D8" s="5">
        <v>0.5</v>
      </c>
      <c r="E8" s="6"/>
      <c r="F8" s="6"/>
      <c r="G8" s="6"/>
      <c r="H8" s="6"/>
      <c r="I8" s="6"/>
    </row>
    <row r="9" spans="1:9" x14ac:dyDescent="0.2">
      <c r="A9" s="13" t="s">
        <v>7</v>
      </c>
      <c r="B9" s="6"/>
      <c r="D9" s="9">
        <v>1</v>
      </c>
      <c r="E9" s="10"/>
      <c r="F9" s="10"/>
      <c r="G9" s="10"/>
      <c r="H9" s="10"/>
      <c r="I9" s="10"/>
    </row>
    <row r="10" spans="1:9" x14ac:dyDescent="0.2">
      <c r="A10" s="14" t="s">
        <v>8</v>
      </c>
      <c r="B10" s="10"/>
      <c r="D10" s="9">
        <v>1.5</v>
      </c>
      <c r="E10" s="10"/>
      <c r="F10" s="10"/>
      <c r="G10" s="10"/>
      <c r="H10" s="10"/>
      <c r="I10" s="10"/>
    </row>
    <row r="11" spans="1:9" x14ac:dyDescent="0.2">
      <c r="A11" s="14" t="s">
        <v>9</v>
      </c>
      <c r="B11" s="10"/>
      <c r="D11" s="9">
        <v>2</v>
      </c>
      <c r="E11" s="10"/>
      <c r="F11" s="10"/>
      <c r="G11" s="10"/>
      <c r="H11" s="10"/>
      <c r="I11" s="10"/>
    </row>
    <row r="12" spans="1:9" x14ac:dyDescent="0.2">
      <c r="A12" s="15" t="s">
        <v>10</v>
      </c>
      <c r="B12" s="16"/>
      <c r="D12" s="9">
        <v>2.5</v>
      </c>
      <c r="E12" s="10"/>
      <c r="F12" s="10"/>
      <c r="G12" s="10"/>
      <c r="H12" s="10"/>
      <c r="I12" s="10"/>
    </row>
    <row r="13" spans="1:9" x14ac:dyDescent="0.2">
      <c r="A13" s="13" t="s">
        <v>11</v>
      </c>
      <c r="B13" s="5">
        <f>-B10</f>
        <v>0</v>
      </c>
      <c r="D13" s="9">
        <v>3</v>
      </c>
      <c r="E13" s="10"/>
      <c r="F13" s="10"/>
      <c r="G13" s="10"/>
      <c r="H13" s="10"/>
      <c r="I13" s="10"/>
    </row>
    <row r="14" spans="1:9" x14ac:dyDescent="0.2">
      <c r="A14" s="14" t="s">
        <v>12</v>
      </c>
      <c r="B14" s="9">
        <f>B9</f>
        <v>0</v>
      </c>
      <c r="D14" s="9">
        <v>3.5</v>
      </c>
      <c r="E14" s="10"/>
      <c r="F14" s="10"/>
      <c r="G14" s="10"/>
      <c r="H14" s="10"/>
      <c r="I14" s="10"/>
    </row>
    <row r="15" spans="1:9" x14ac:dyDescent="0.2">
      <c r="A15" s="14" t="s">
        <v>13</v>
      </c>
      <c r="B15" s="9"/>
      <c r="D15" s="9">
        <v>4</v>
      </c>
      <c r="E15" s="10"/>
      <c r="F15" s="10"/>
      <c r="G15" s="10"/>
      <c r="H15" s="10"/>
      <c r="I15" s="10"/>
    </row>
    <row r="16" spans="1:9" x14ac:dyDescent="0.2">
      <c r="A16" s="15" t="s">
        <v>14</v>
      </c>
      <c r="B16" s="17"/>
      <c r="D16" s="9">
        <v>4.5</v>
      </c>
      <c r="E16" s="10"/>
      <c r="F16" s="10"/>
      <c r="G16" s="10"/>
      <c r="H16" s="10"/>
      <c r="I16" s="10"/>
    </row>
    <row r="17" spans="1:9" x14ac:dyDescent="0.2">
      <c r="A17" s="7" t="s">
        <v>30</v>
      </c>
      <c r="B17" s="8">
        <v>0</v>
      </c>
      <c r="D17" s="17">
        <v>5</v>
      </c>
      <c r="E17" s="16"/>
      <c r="F17" s="16"/>
      <c r="G17" s="16"/>
      <c r="H17" s="16"/>
      <c r="I17" s="16"/>
    </row>
    <row r="18" spans="1:9" x14ac:dyDescent="0.2">
      <c r="D18" s="18">
        <v>5.5</v>
      </c>
      <c r="E18" s="19"/>
      <c r="F18" s="19"/>
      <c r="G18" s="19"/>
      <c r="H18" s="19"/>
      <c r="I18" s="19"/>
    </row>
    <row r="19" spans="1:9" x14ac:dyDescent="0.2">
      <c r="A19" s="20" t="s">
        <v>19</v>
      </c>
      <c r="D19" s="9">
        <v>6</v>
      </c>
      <c r="E19" s="10"/>
      <c r="F19" s="10"/>
      <c r="G19" s="10"/>
      <c r="H19" s="10"/>
      <c r="I19" s="10"/>
    </row>
    <row r="20" spans="1:9" x14ac:dyDescent="0.2">
      <c r="A20" s="7" t="s">
        <v>20</v>
      </c>
      <c r="B20" s="8">
        <v>0</v>
      </c>
      <c r="D20" s="9">
        <v>6.5</v>
      </c>
      <c r="E20" s="10"/>
      <c r="F20" s="10"/>
      <c r="G20" s="10"/>
      <c r="H20" s="10"/>
      <c r="I20" s="10"/>
    </row>
    <row r="21" spans="1:9" x14ac:dyDescent="0.2">
      <c r="A21" s="7" t="s">
        <v>23</v>
      </c>
      <c r="B21" s="8">
        <v>0</v>
      </c>
      <c r="D21" s="9">
        <v>7</v>
      </c>
      <c r="E21" s="10"/>
      <c r="F21" s="10"/>
      <c r="G21" s="10"/>
      <c r="H21" s="10"/>
      <c r="I21" s="10"/>
    </row>
    <row r="22" spans="1:9" x14ac:dyDescent="0.2">
      <c r="D22" s="9">
        <v>7.5</v>
      </c>
      <c r="E22" s="10"/>
      <c r="F22" s="10"/>
      <c r="G22" s="10"/>
      <c r="H22" s="10"/>
      <c r="I22" s="10"/>
    </row>
    <row r="23" spans="1:9" x14ac:dyDescent="0.2">
      <c r="A23" s="20" t="s">
        <v>33</v>
      </c>
      <c r="D23" s="9">
        <v>8</v>
      </c>
      <c r="E23" s="10"/>
      <c r="F23" s="10"/>
      <c r="G23" s="10"/>
      <c r="H23" s="10"/>
      <c r="I23" s="10"/>
    </row>
    <row r="24" spans="1:9" x14ac:dyDescent="0.2">
      <c r="A24" s="7" t="s">
        <v>29</v>
      </c>
      <c r="B24" s="8">
        <v>0</v>
      </c>
      <c r="D24" s="9">
        <v>8.5</v>
      </c>
      <c r="E24" s="10"/>
      <c r="F24" s="10"/>
      <c r="G24" s="10"/>
      <c r="H24" s="10"/>
      <c r="I24" s="10"/>
    </row>
    <row r="25" spans="1:9" x14ac:dyDescent="0.2">
      <c r="D25" s="9">
        <v>9</v>
      </c>
      <c r="E25" s="10"/>
      <c r="F25" s="10"/>
      <c r="G25" s="10"/>
      <c r="H25" s="10"/>
      <c r="I25" s="10"/>
    </row>
    <row r="26" spans="1:9" x14ac:dyDescent="0.2">
      <c r="A26" s="21" t="s">
        <v>31</v>
      </c>
      <c r="D26" s="9">
        <v>9.5</v>
      </c>
      <c r="E26" s="10"/>
      <c r="F26" s="10"/>
      <c r="G26" s="10"/>
      <c r="H26" s="10"/>
      <c r="I26" s="10"/>
    </row>
    <row r="27" spans="1:9" x14ac:dyDescent="0.2">
      <c r="A27" s="21" t="s">
        <v>32</v>
      </c>
      <c r="D27" s="17">
        <v>10</v>
      </c>
      <c r="E27" s="16"/>
      <c r="F27" s="16"/>
      <c r="G27" s="16"/>
      <c r="H27" s="16"/>
      <c r="I27" s="16"/>
    </row>
    <row r="28" spans="1:9" x14ac:dyDescent="0.2">
      <c r="A28" s="20" t="s">
        <v>34</v>
      </c>
      <c r="D28" s="18"/>
      <c r="E28" s="19"/>
      <c r="F28" s="19"/>
      <c r="G28" s="19"/>
      <c r="H28" s="19"/>
      <c r="I28" s="19"/>
    </row>
    <row r="29" spans="1:9" x14ac:dyDescent="0.2">
      <c r="D29" s="9"/>
      <c r="E29" s="10"/>
      <c r="F29" s="10"/>
      <c r="G29" s="10"/>
      <c r="H29" s="10"/>
      <c r="I29" s="10"/>
    </row>
    <row r="30" spans="1:9" x14ac:dyDescent="0.2">
      <c r="D30" s="9"/>
      <c r="E30" s="10"/>
      <c r="F30" s="10"/>
      <c r="G30" s="10"/>
      <c r="H30" s="10"/>
      <c r="I30" s="10"/>
    </row>
    <row r="31" spans="1:9" x14ac:dyDescent="0.2">
      <c r="D31" s="9"/>
      <c r="E31" s="10"/>
      <c r="F31" s="10"/>
      <c r="G31" s="10"/>
      <c r="H31" s="10"/>
      <c r="I31" s="10"/>
    </row>
    <row r="32" spans="1:9" x14ac:dyDescent="0.2">
      <c r="D32" s="9"/>
      <c r="E32" s="10"/>
      <c r="F32" s="10"/>
      <c r="G32" s="10"/>
      <c r="H32" s="10"/>
      <c r="I32" s="10"/>
    </row>
    <row r="33" spans="4:9" x14ac:dyDescent="0.2">
      <c r="D33" s="9"/>
      <c r="E33" s="10"/>
      <c r="F33" s="10"/>
      <c r="G33" s="10"/>
      <c r="H33" s="10"/>
      <c r="I33" s="10"/>
    </row>
    <row r="34" spans="4:9" x14ac:dyDescent="0.2">
      <c r="D34" s="9"/>
      <c r="E34" s="10"/>
      <c r="F34" s="10"/>
      <c r="G34" s="10"/>
      <c r="H34" s="10"/>
      <c r="I34" s="10"/>
    </row>
    <row r="35" spans="4:9" x14ac:dyDescent="0.2">
      <c r="D35" s="9"/>
      <c r="E35" s="10"/>
      <c r="F35" s="10"/>
      <c r="G35" s="10"/>
      <c r="H35" s="10"/>
      <c r="I35" s="10"/>
    </row>
    <row r="36" spans="4:9" x14ac:dyDescent="0.2">
      <c r="D36" s="9"/>
      <c r="E36" s="10"/>
      <c r="F36" s="10"/>
      <c r="G36" s="10"/>
      <c r="H36" s="10"/>
      <c r="I36" s="10"/>
    </row>
    <row r="37" spans="4:9" x14ac:dyDescent="0.2">
      <c r="D37" s="17"/>
      <c r="E37" s="16"/>
      <c r="F37" s="16"/>
      <c r="G37" s="16"/>
      <c r="H37" s="16"/>
      <c r="I37" s="16"/>
    </row>
    <row r="38" spans="4:9" x14ac:dyDescent="0.2">
      <c r="D38" s="18"/>
      <c r="E38" s="19"/>
      <c r="F38" s="19"/>
      <c r="G38" s="19"/>
      <c r="H38" s="19"/>
      <c r="I38" s="19"/>
    </row>
    <row r="39" spans="4:9" x14ac:dyDescent="0.2">
      <c r="D39" s="9"/>
      <c r="E39" s="10"/>
      <c r="F39" s="10"/>
      <c r="G39" s="10"/>
      <c r="H39" s="10"/>
      <c r="I39" s="10"/>
    </row>
    <row r="40" spans="4:9" x14ac:dyDescent="0.2">
      <c r="D40" s="9"/>
      <c r="E40" s="10"/>
      <c r="F40" s="10"/>
      <c r="G40" s="10"/>
      <c r="H40" s="10"/>
      <c r="I40" s="10"/>
    </row>
    <row r="41" spans="4:9" x14ac:dyDescent="0.2">
      <c r="D41" s="9"/>
      <c r="E41" s="10"/>
      <c r="F41" s="10"/>
      <c r="G41" s="10"/>
      <c r="H41" s="10"/>
      <c r="I41" s="10"/>
    </row>
    <row r="42" spans="4:9" x14ac:dyDescent="0.2">
      <c r="D42" s="9"/>
      <c r="E42" s="10"/>
      <c r="F42" s="10"/>
      <c r="G42" s="10"/>
      <c r="H42" s="10"/>
      <c r="I42" s="10"/>
    </row>
    <row r="43" spans="4:9" x14ac:dyDescent="0.2">
      <c r="D43" s="9"/>
      <c r="E43" s="10"/>
      <c r="F43" s="10"/>
      <c r="G43" s="10"/>
      <c r="H43" s="10"/>
      <c r="I43" s="10"/>
    </row>
    <row r="44" spans="4:9" x14ac:dyDescent="0.2">
      <c r="D44" s="9"/>
      <c r="E44" s="10"/>
      <c r="F44" s="10"/>
      <c r="G44" s="10"/>
      <c r="H44" s="10"/>
      <c r="I44" s="10"/>
    </row>
    <row r="45" spans="4:9" x14ac:dyDescent="0.2">
      <c r="D45" s="9"/>
      <c r="E45" s="10"/>
      <c r="F45" s="10"/>
      <c r="G45" s="10"/>
      <c r="H45" s="10"/>
      <c r="I45" s="10"/>
    </row>
    <row r="46" spans="4:9" x14ac:dyDescent="0.2">
      <c r="D46" s="9"/>
      <c r="E46" s="10"/>
      <c r="F46" s="10"/>
      <c r="G46" s="10"/>
      <c r="H46" s="10"/>
      <c r="I46" s="10"/>
    </row>
    <row r="47" spans="4:9" x14ac:dyDescent="0.2">
      <c r="D47" s="17"/>
      <c r="E47" s="16"/>
      <c r="F47" s="16"/>
      <c r="G47" s="16"/>
      <c r="H47" s="16"/>
      <c r="I47" s="16"/>
    </row>
    <row r="48" spans="4:9" x14ac:dyDescent="0.2">
      <c r="D48" s="18"/>
      <c r="E48" s="19"/>
      <c r="F48" s="19"/>
      <c r="G48" s="19"/>
      <c r="H48" s="19"/>
      <c r="I48" s="19"/>
    </row>
    <row r="49" spans="4:9" x14ac:dyDescent="0.2">
      <c r="D49" s="9"/>
      <c r="E49" s="10"/>
      <c r="F49" s="10"/>
      <c r="G49" s="10"/>
      <c r="H49" s="10"/>
      <c r="I49" s="10"/>
    </row>
    <row r="50" spans="4:9" x14ac:dyDescent="0.2">
      <c r="D50" s="9"/>
      <c r="E50" s="10"/>
      <c r="F50" s="10"/>
      <c r="G50" s="10"/>
      <c r="H50" s="10"/>
      <c r="I50" s="10"/>
    </row>
    <row r="51" spans="4:9" x14ac:dyDescent="0.2">
      <c r="D51" s="9"/>
      <c r="E51" s="10"/>
      <c r="F51" s="10"/>
      <c r="G51" s="10"/>
      <c r="H51" s="10"/>
      <c r="I51" s="10"/>
    </row>
    <row r="52" spans="4:9" x14ac:dyDescent="0.2">
      <c r="D52" s="9"/>
      <c r="E52" s="10"/>
      <c r="F52" s="10"/>
      <c r="G52" s="10"/>
      <c r="H52" s="10"/>
      <c r="I52" s="10"/>
    </row>
    <row r="53" spans="4:9" x14ac:dyDescent="0.2">
      <c r="D53" s="9"/>
      <c r="E53" s="10"/>
      <c r="F53" s="10"/>
      <c r="G53" s="10"/>
      <c r="H53" s="10"/>
      <c r="I53" s="10"/>
    </row>
    <row r="54" spans="4:9" x14ac:dyDescent="0.2">
      <c r="D54" s="9"/>
      <c r="E54" s="10"/>
      <c r="F54" s="10"/>
      <c r="G54" s="10"/>
      <c r="H54" s="10"/>
      <c r="I54" s="10"/>
    </row>
    <row r="55" spans="4:9" x14ac:dyDescent="0.2">
      <c r="D55" s="9"/>
      <c r="E55" s="10"/>
      <c r="F55" s="10"/>
      <c r="G55" s="10"/>
      <c r="H55" s="10"/>
      <c r="I55" s="10"/>
    </row>
    <row r="56" spans="4:9" x14ac:dyDescent="0.2">
      <c r="D56" s="9"/>
      <c r="E56" s="10"/>
      <c r="F56" s="10"/>
      <c r="G56" s="10"/>
      <c r="H56" s="10"/>
      <c r="I56" s="10"/>
    </row>
    <row r="57" spans="4:9" x14ac:dyDescent="0.2">
      <c r="D57" s="17"/>
      <c r="E57" s="16"/>
      <c r="F57" s="16"/>
      <c r="G57" s="16"/>
      <c r="H57" s="16"/>
      <c r="I57" s="16"/>
    </row>
    <row r="58" spans="4:9" x14ac:dyDescent="0.2">
      <c r="E58" s="16">
        <f>SUM(E8:E57)</f>
        <v>0</v>
      </c>
    </row>
  </sheetData>
  <phoneticPr fontId="3"/>
  <dataValidations count="4">
    <dataValidation type="whole" allowBlank="1" showInputMessage="1" showErrorMessage="1" prompt="0: Derkfa_x000a_1: Dopri5a_x000a_2: Dverka_x000a_3: Dop853a_x000a_4: Deabm_x000a_5: Odexa_x000a_6: Debdf_x000a_7: Radaua_x000a_8: Rodasa_x000a_9: Seulexa" sqref="B20" xr:uid="{00000000-0002-0000-0000-000000000000}">
      <formula1>0</formula1>
      <formula2>9</formula2>
    </dataValidation>
    <dataValidation type="whole" allowBlank="1" showInputMessage="1" showErrorMessage="1" sqref="B6" xr:uid="{00000000-0002-0000-0000-000001000000}">
      <formula1>1</formula1>
      <formula2>4</formula2>
    </dataValidation>
    <dataValidation type="whole" allowBlank="1" showInputMessage="1" showErrorMessage="1" prompt="0: コールバック版_x000a_1: リバースコミュニケーション版" sqref="B21" xr:uid="{064A4DC4-638F-4FBA-98AA-7E6DE3307A8A}">
      <formula1>0</formula1>
      <formula2>1</formula2>
    </dataValidation>
    <dataValidation type="whole" allowBlank="1" showInputMessage="1" showErrorMessage="1" prompt="0: No_x000a_1: Yes_x000a_" sqref="B24" xr:uid="{3734C47E-CAB8-439E-88F5-BFDAD3282B73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165100</xdr:rowOff>
                  </from>
                  <to>
                    <xdr:col>3</xdr:col>
                    <xdr:colOff>1155700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tart">
                <anchor moveWithCells="1" sizeWithCells="1">
                  <from>
                    <xdr:col>1</xdr:col>
                    <xdr:colOff>19050</xdr:colOff>
                    <xdr:row>1</xdr:row>
                    <xdr:rowOff>165100</xdr:rowOff>
                  </from>
                  <to>
                    <xdr:col>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FF57E-9D3F-4713-8122-79F88EC19623}">
  <sheetPr codeName="Sheet5"/>
  <dimension ref="A1:I58"/>
  <sheetViews>
    <sheetView workbookViewId="0"/>
  </sheetViews>
  <sheetFormatPr defaultRowHeight="13" x14ac:dyDescent="0.2"/>
  <cols>
    <col min="1" max="1" width="10.6328125" customWidth="1"/>
    <col min="2" max="2" width="15.6328125" customWidth="1"/>
    <col min="3" max="3" width="12.6328125" customWidth="1"/>
    <col min="4" max="4" width="15.6328125" customWidth="1"/>
    <col min="5" max="5" width="12" customWidth="1"/>
    <col min="6" max="9" width="15.6328125" customWidth="1"/>
  </cols>
  <sheetData>
    <row r="1" spans="1:9" x14ac:dyDescent="0.2">
      <c r="A1" s="1" t="s">
        <v>24</v>
      </c>
    </row>
    <row r="2" spans="1:9" x14ac:dyDescent="0.2">
      <c r="A2" s="2"/>
    </row>
    <row r="3" spans="1:9" x14ac:dyDescent="0.2">
      <c r="F3" t="s">
        <v>37</v>
      </c>
      <c r="G3" t="s">
        <v>35</v>
      </c>
    </row>
    <row r="4" spans="1:9" x14ac:dyDescent="0.2">
      <c r="A4" s="3"/>
      <c r="G4" t="s">
        <v>36</v>
      </c>
    </row>
    <row r="5" spans="1:9" x14ac:dyDescent="0.2">
      <c r="A5" t="s">
        <v>16</v>
      </c>
    </row>
    <row r="6" spans="1:9" x14ac:dyDescent="0.2">
      <c r="A6" s="7" t="s">
        <v>5</v>
      </c>
      <c r="B6" s="8">
        <v>2</v>
      </c>
      <c r="D6" s="4" t="s">
        <v>0</v>
      </c>
      <c r="E6" s="4" t="s">
        <v>21</v>
      </c>
      <c r="F6" s="22" t="s">
        <v>1</v>
      </c>
      <c r="G6" s="23" t="s">
        <v>2</v>
      </c>
      <c r="H6" s="22" t="s">
        <v>25</v>
      </c>
      <c r="I6" s="23" t="s">
        <v>26</v>
      </c>
    </row>
    <row r="7" spans="1:9" x14ac:dyDescent="0.2">
      <c r="A7" s="7" t="s">
        <v>22</v>
      </c>
      <c r="B7" s="11">
        <v>1E-10</v>
      </c>
      <c r="C7" s="3" t="s">
        <v>17</v>
      </c>
      <c r="D7" s="8">
        <v>0</v>
      </c>
      <c r="E7" s="12"/>
      <c r="F7" s="24">
        <v>1</v>
      </c>
      <c r="G7" s="25">
        <v>0</v>
      </c>
      <c r="H7" s="24">
        <v>0</v>
      </c>
      <c r="I7" s="25">
        <f>SQRT(3)</f>
        <v>1.7320508075688772</v>
      </c>
    </row>
    <row r="8" spans="1:9" x14ac:dyDescent="0.2">
      <c r="A8" s="7" t="s">
        <v>6</v>
      </c>
      <c r="B8" s="12"/>
      <c r="D8" s="5">
        <v>0.5</v>
      </c>
      <c r="E8" s="6"/>
      <c r="F8" s="26"/>
      <c r="G8" s="27"/>
      <c r="H8" s="26"/>
      <c r="I8" s="27"/>
    </row>
    <row r="9" spans="1:9" x14ac:dyDescent="0.2">
      <c r="A9" s="13" t="s">
        <v>7</v>
      </c>
      <c r="B9" s="6"/>
      <c r="D9" s="9">
        <v>1</v>
      </c>
      <c r="E9" s="10"/>
      <c r="F9" s="28"/>
      <c r="G9" s="29"/>
      <c r="H9" s="28"/>
      <c r="I9" s="29"/>
    </row>
    <row r="10" spans="1:9" x14ac:dyDescent="0.2">
      <c r="A10" s="14" t="s">
        <v>8</v>
      </c>
      <c r="B10" s="10"/>
      <c r="D10" s="9">
        <v>1.5</v>
      </c>
      <c r="E10" s="10"/>
      <c r="F10" s="28"/>
      <c r="G10" s="29"/>
      <c r="H10" s="28"/>
      <c r="I10" s="29"/>
    </row>
    <row r="11" spans="1:9" x14ac:dyDescent="0.2">
      <c r="A11" s="14"/>
      <c r="B11" s="10"/>
      <c r="D11" s="9">
        <v>2</v>
      </c>
      <c r="E11" s="10"/>
      <c r="F11" s="28"/>
      <c r="G11" s="29"/>
      <c r="H11" s="28"/>
      <c r="I11" s="29"/>
    </row>
    <row r="12" spans="1:9" x14ac:dyDescent="0.2">
      <c r="A12" s="15"/>
      <c r="B12" s="16"/>
      <c r="D12" s="9">
        <v>2.5</v>
      </c>
      <c r="E12" s="10"/>
      <c r="F12" s="28"/>
      <c r="G12" s="29"/>
      <c r="H12" s="28"/>
      <c r="I12" s="29"/>
    </row>
    <row r="13" spans="1:9" x14ac:dyDescent="0.2">
      <c r="A13" s="13" t="s">
        <v>27</v>
      </c>
      <c r="B13" s="5" t="e">
        <f>-B9/(B9^2 + B10^2)^1.5</f>
        <v>#DIV/0!</v>
      </c>
      <c r="D13" s="9">
        <v>3</v>
      </c>
      <c r="E13" s="10"/>
      <c r="F13" s="28"/>
      <c r="G13" s="29"/>
      <c r="H13" s="28"/>
      <c r="I13" s="29"/>
    </row>
    <row r="14" spans="1:9" x14ac:dyDescent="0.2">
      <c r="A14" s="14" t="s">
        <v>28</v>
      </c>
      <c r="B14" s="9" t="e">
        <f>-B10/(B9^2+B10^2)^1.5</f>
        <v>#DIV/0!</v>
      </c>
      <c r="D14" s="9">
        <v>3.5</v>
      </c>
      <c r="E14" s="10"/>
      <c r="F14" s="28"/>
      <c r="G14" s="29"/>
      <c r="H14" s="28"/>
      <c r="I14" s="29"/>
    </row>
    <row r="15" spans="1:9" x14ac:dyDescent="0.2">
      <c r="A15" s="14"/>
      <c r="B15" s="10"/>
      <c r="D15" s="9">
        <v>4</v>
      </c>
      <c r="E15" s="10"/>
      <c r="F15" s="28"/>
      <c r="G15" s="29"/>
      <c r="H15" s="28"/>
      <c r="I15" s="29"/>
    </row>
    <row r="16" spans="1:9" x14ac:dyDescent="0.2">
      <c r="A16" s="15"/>
      <c r="B16" s="16"/>
      <c r="D16" s="9">
        <v>4.5</v>
      </c>
      <c r="E16" s="10"/>
      <c r="F16" s="28"/>
      <c r="G16" s="29"/>
      <c r="H16" s="28"/>
      <c r="I16" s="29"/>
    </row>
    <row r="17" spans="1:9" x14ac:dyDescent="0.2">
      <c r="D17" s="17">
        <v>5</v>
      </c>
      <c r="E17" s="16"/>
      <c r="F17" s="30"/>
      <c r="G17" s="31"/>
      <c r="H17" s="30"/>
      <c r="I17" s="31"/>
    </row>
    <row r="18" spans="1:9" x14ac:dyDescent="0.2">
      <c r="A18" s="20"/>
      <c r="D18" s="18">
        <v>5.5</v>
      </c>
      <c r="E18" s="19"/>
      <c r="F18" s="32"/>
      <c r="G18" s="33"/>
      <c r="H18" s="32"/>
      <c r="I18" s="33"/>
    </row>
    <row r="19" spans="1:9" x14ac:dyDescent="0.2">
      <c r="A19" s="20" t="s">
        <v>19</v>
      </c>
      <c r="D19" s="9">
        <v>6</v>
      </c>
      <c r="E19" s="10"/>
      <c r="F19" s="28"/>
      <c r="G19" s="29"/>
      <c r="H19" s="28"/>
      <c r="I19" s="29"/>
    </row>
    <row r="20" spans="1:9" x14ac:dyDescent="0.2">
      <c r="A20" s="7" t="s">
        <v>20</v>
      </c>
      <c r="B20" s="8">
        <v>0</v>
      </c>
      <c r="D20" s="9">
        <v>6.5</v>
      </c>
      <c r="E20" s="10"/>
      <c r="F20" s="28"/>
      <c r="G20" s="29"/>
      <c r="H20" s="28"/>
      <c r="I20" s="29"/>
    </row>
    <row r="21" spans="1:9" x14ac:dyDescent="0.2">
      <c r="A21" s="7" t="s">
        <v>23</v>
      </c>
      <c r="B21" s="8">
        <v>0</v>
      </c>
      <c r="D21" s="9">
        <v>7</v>
      </c>
      <c r="E21" s="10"/>
      <c r="F21" s="28"/>
      <c r="G21" s="29"/>
      <c r="H21" s="28"/>
      <c r="I21" s="29"/>
    </row>
    <row r="22" spans="1:9" x14ac:dyDescent="0.2">
      <c r="D22" s="9">
        <v>7.5</v>
      </c>
      <c r="E22" s="10"/>
      <c r="F22" s="28"/>
      <c r="G22" s="29"/>
      <c r="H22" s="28"/>
      <c r="I22" s="29"/>
    </row>
    <row r="23" spans="1:9" x14ac:dyDescent="0.2">
      <c r="A23" s="20" t="s">
        <v>33</v>
      </c>
      <c r="D23" s="9">
        <v>8</v>
      </c>
      <c r="E23" s="10"/>
      <c r="F23" s="28"/>
      <c r="G23" s="29"/>
      <c r="H23" s="28"/>
      <c r="I23" s="29"/>
    </row>
    <row r="24" spans="1:9" x14ac:dyDescent="0.2">
      <c r="A24" s="7" t="s">
        <v>29</v>
      </c>
      <c r="B24" s="8">
        <v>0</v>
      </c>
      <c r="D24" s="9">
        <v>8.5</v>
      </c>
      <c r="E24" s="10"/>
      <c r="F24" s="28"/>
      <c r="G24" s="29"/>
      <c r="H24" s="28"/>
      <c r="I24" s="29"/>
    </row>
    <row r="25" spans="1:9" x14ac:dyDescent="0.2">
      <c r="D25" s="9">
        <v>9</v>
      </c>
      <c r="E25" s="10"/>
      <c r="F25" s="28"/>
      <c r="G25" s="29"/>
      <c r="H25" s="28"/>
      <c r="I25" s="29"/>
    </row>
    <row r="26" spans="1:9" x14ac:dyDescent="0.2">
      <c r="A26" s="20" t="s">
        <v>38</v>
      </c>
      <c r="D26" s="9">
        <v>9.5</v>
      </c>
      <c r="E26" s="10"/>
      <c r="F26" s="28"/>
      <c r="G26" s="29"/>
      <c r="H26" s="28"/>
      <c r="I26" s="29"/>
    </row>
    <row r="27" spans="1:9" x14ac:dyDescent="0.2">
      <c r="A27" t="s">
        <v>39</v>
      </c>
      <c r="D27" s="17">
        <v>10</v>
      </c>
      <c r="E27" s="16"/>
      <c r="F27" s="30"/>
      <c r="G27" s="31"/>
      <c r="H27" s="30"/>
      <c r="I27" s="31"/>
    </row>
    <row r="28" spans="1:9" x14ac:dyDescent="0.2">
      <c r="D28" s="18"/>
      <c r="E28" s="19"/>
      <c r="F28" s="32"/>
      <c r="G28" s="33"/>
      <c r="H28" s="32"/>
      <c r="I28" s="33"/>
    </row>
    <row r="29" spans="1:9" x14ac:dyDescent="0.2">
      <c r="D29" s="9"/>
      <c r="E29" s="10"/>
      <c r="F29" s="28"/>
      <c r="G29" s="29"/>
      <c r="H29" s="28"/>
      <c r="I29" s="29"/>
    </row>
    <row r="30" spans="1:9" x14ac:dyDescent="0.2">
      <c r="D30" s="9"/>
      <c r="E30" s="10"/>
      <c r="F30" s="28"/>
      <c r="G30" s="29"/>
      <c r="H30" s="28"/>
      <c r="I30" s="29"/>
    </row>
    <row r="31" spans="1:9" x14ac:dyDescent="0.2">
      <c r="D31" s="9"/>
      <c r="E31" s="10"/>
      <c r="F31" s="28"/>
      <c r="G31" s="29"/>
      <c r="H31" s="28"/>
      <c r="I31" s="29"/>
    </row>
    <row r="32" spans="1:9" x14ac:dyDescent="0.2">
      <c r="D32" s="9"/>
      <c r="E32" s="10"/>
      <c r="F32" s="28"/>
      <c r="G32" s="29"/>
      <c r="H32" s="28"/>
      <c r="I32" s="29"/>
    </row>
    <row r="33" spans="4:9" x14ac:dyDescent="0.2">
      <c r="D33" s="9"/>
      <c r="E33" s="10"/>
      <c r="F33" s="28"/>
      <c r="G33" s="29"/>
      <c r="H33" s="28"/>
      <c r="I33" s="29"/>
    </row>
    <row r="34" spans="4:9" x14ac:dyDescent="0.2">
      <c r="D34" s="9"/>
      <c r="E34" s="10"/>
      <c r="F34" s="28"/>
      <c r="G34" s="29"/>
      <c r="H34" s="28"/>
      <c r="I34" s="29"/>
    </row>
    <row r="35" spans="4:9" x14ac:dyDescent="0.2">
      <c r="D35" s="9"/>
      <c r="E35" s="10"/>
      <c r="F35" s="28"/>
      <c r="G35" s="29"/>
      <c r="H35" s="28"/>
      <c r="I35" s="29"/>
    </row>
    <row r="36" spans="4:9" x14ac:dyDescent="0.2">
      <c r="D36" s="9"/>
      <c r="E36" s="10"/>
      <c r="F36" s="28"/>
      <c r="G36" s="29"/>
      <c r="H36" s="28"/>
      <c r="I36" s="29"/>
    </row>
    <row r="37" spans="4:9" x14ac:dyDescent="0.2">
      <c r="D37" s="17"/>
      <c r="E37" s="16"/>
      <c r="F37" s="30"/>
      <c r="G37" s="31"/>
      <c r="H37" s="30"/>
      <c r="I37" s="31"/>
    </row>
    <row r="38" spans="4:9" x14ac:dyDescent="0.2">
      <c r="D38" s="18"/>
      <c r="E38" s="19"/>
      <c r="F38" s="32"/>
      <c r="G38" s="33"/>
      <c r="H38" s="32"/>
      <c r="I38" s="33"/>
    </row>
    <row r="39" spans="4:9" x14ac:dyDescent="0.2">
      <c r="D39" s="9"/>
      <c r="E39" s="10"/>
      <c r="F39" s="28"/>
      <c r="G39" s="29"/>
      <c r="H39" s="28"/>
      <c r="I39" s="29"/>
    </row>
    <row r="40" spans="4:9" x14ac:dyDescent="0.2">
      <c r="D40" s="9"/>
      <c r="E40" s="10"/>
      <c r="F40" s="28"/>
      <c r="G40" s="29"/>
      <c r="H40" s="28"/>
      <c r="I40" s="29"/>
    </row>
    <row r="41" spans="4:9" x14ac:dyDescent="0.2">
      <c r="D41" s="9"/>
      <c r="E41" s="10"/>
      <c r="F41" s="28"/>
      <c r="G41" s="29"/>
      <c r="H41" s="28"/>
      <c r="I41" s="29"/>
    </row>
    <row r="42" spans="4:9" x14ac:dyDescent="0.2">
      <c r="D42" s="9"/>
      <c r="E42" s="10"/>
      <c r="F42" s="28"/>
      <c r="G42" s="29"/>
      <c r="H42" s="28"/>
      <c r="I42" s="29"/>
    </row>
    <row r="43" spans="4:9" x14ac:dyDescent="0.2">
      <c r="D43" s="9"/>
      <c r="E43" s="10"/>
      <c r="F43" s="28"/>
      <c r="G43" s="29"/>
      <c r="H43" s="28"/>
      <c r="I43" s="29"/>
    </row>
    <row r="44" spans="4:9" x14ac:dyDescent="0.2">
      <c r="D44" s="9"/>
      <c r="E44" s="10"/>
      <c r="F44" s="28"/>
      <c r="G44" s="29"/>
      <c r="H44" s="28"/>
      <c r="I44" s="29"/>
    </row>
    <row r="45" spans="4:9" x14ac:dyDescent="0.2">
      <c r="D45" s="9"/>
      <c r="E45" s="10"/>
      <c r="F45" s="28"/>
      <c r="G45" s="29"/>
      <c r="H45" s="28"/>
      <c r="I45" s="29"/>
    </row>
    <row r="46" spans="4:9" x14ac:dyDescent="0.2">
      <c r="D46" s="9"/>
      <c r="E46" s="10"/>
      <c r="F46" s="28"/>
      <c r="G46" s="29"/>
      <c r="H46" s="28"/>
      <c r="I46" s="29"/>
    </row>
    <row r="47" spans="4:9" x14ac:dyDescent="0.2">
      <c r="D47" s="17"/>
      <c r="E47" s="16"/>
      <c r="F47" s="30"/>
      <c r="G47" s="31"/>
      <c r="H47" s="30"/>
      <c r="I47" s="31"/>
    </row>
    <row r="48" spans="4:9" x14ac:dyDescent="0.2">
      <c r="D48" s="18"/>
      <c r="E48" s="19"/>
      <c r="F48" s="32"/>
      <c r="G48" s="33"/>
      <c r="H48" s="32"/>
      <c r="I48" s="33"/>
    </row>
    <row r="49" spans="4:9" x14ac:dyDescent="0.2">
      <c r="D49" s="9"/>
      <c r="E49" s="10"/>
      <c r="F49" s="28"/>
      <c r="G49" s="29"/>
      <c r="H49" s="28"/>
      <c r="I49" s="29"/>
    </row>
    <row r="50" spans="4:9" x14ac:dyDescent="0.2">
      <c r="D50" s="9"/>
      <c r="E50" s="10"/>
      <c r="F50" s="28"/>
      <c r="G50" s="29"/>
      <c r="H50" s="28"/>
      <c r="I50" s="29"/>
    </row>
    <row r="51" spans="4:9" x14ac:dyDescent="0.2">
      <c r="D51" s="9"/>
      <c r="E51" s="10"/>
      <c r="F51" s="28"/>
      <c r="G51" s="29"/>
      <c r="H51" s="28"/>
      <c r="I51" s="29"/>
    </row>
    <row r="52" spans="4:9" x14ac:dyDescent="0.2">
      <c r="D52" s="9"/>
      <c r="E52" s="10"/>
      <c r="F52" s="28"/>
      <c r="G52" s="29"/>
      <c r="H52" s="28"/>
      <c r="I52" s="29"/>
    </row>
    <row r="53" spans="4:9" x14ac:dyDescent="0.2">
      <c r="D53" s="9"/>
      <c r="E53" s="10"/>
      <c r="F53" s="28"/>
      <c r="G53" s="29"/>
      <c r="H53" s="28"/>
      <c r="I53" s="29"/>
    </row>
    <row r="54" spans="4:9" x14ac:dyDescent="0.2">
      <c r="D54" s="9"/>
      <c r="E54" s="10"/>
      <c r="F54" s="28"/>
      <c r="G54" s="29"/>
      <c r="H54" s="28"/>
      <c r="I54" s="29"/>
    </row>
    <row r="55" spans="4:9" x14ac:dyDescent="0.2">
      <c r="D55" s="9"/>
      <c r="E55" s="10"/>
      <c r="F55" s="28"/>
      <c r="G55" s="29"/>
      <c r="H55" s="28"/>
      <c r="I55" s="29"/>
    </row>
    <row r="56" spans="4:9" x14ac:dyDescent="0.2">
      <c r="D56" s="9"/>
      <c r="E56" s="10"/>
      <c r="F56" s="28"/>
      <c r="G56" s="29"/>
      <c r="H56" s="28"/>
      <c r="I56" s="29"/>
    </row>
    <row r="57" spans="4:9" x14ac:dyDescent="0.2">
      <c r="D57" s="17"/>
      <c r="E57" s="16"/>
      <c r="F57" s="30"/>
      <c r="G57" s="31"/>
      <c r="H57" s="30"/>
      <c r="I57" s="31"/>
    </row>
    <row r="58" spans="4:9" x14ac:dyDescent="0.2">
      <c r="E58" s="16">
        <f>SUM(E8:E57)</f>
        <v>0</v>
      </c>
    </row>
  </sheetData>
  <phoneticPr fontId="3"/>
  <dataValidations count="4">
    <dataValidation type="whole" allowBlank="1" showInputMessage="1" showErrorMessage="1" prompt="0: Dopn43_x000a_1: Dopn64_x000a_2: Dopn86_x000a_3: Dopn1210_x000a_4: Odex2" sqref="B20" xr:uid="{516EF942-DE22-464E-A76F-5F0F288517A9}">
      <formula1>0</formula1>
      <formula2>4</formula2>
    </dataValidation>
    <dataValidation type="whole" allowBlank="1" showInputMessage="1" showErrorMessage="1" prompt="0: No_x000a_1: Yes_x000a_" sqref="B24" xr:uid="{58D2B5F5-60D8-440E-9879-2EFAEA9FC2FF}">
      <formula1>0</formula1>
      <formula2>1</formula2>
    </dataValidation>
    <dataValidation type="whole" allowBlank="1" showInputMessage="1" showErrorMessage="1" sqref="B6" xr:uid="{8D32C28C-C6AE-488D-B5A3-7AE228D67BC8}">
      <formula1>1</formula1>
      <formula2>2</formula2>
    </dataValidation>
    <dataValidation type="whole" allowBlank="1" showInputMessage="1" showErrorMessage="1" prompt="0: コールバック版_x000a_1: リバースコミュニケーション版" sqref="B21" xr:uid="{53CBEB45-4A85-4482-967C-D19C459D7F4E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165100</xdr:rowOff>
                  </from>
                  <to>
                    <xdr:col>3</xdr:col>
                    <xdr:colOff>1155700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tart_2">
                <anchor moveWithCells="1" sizeWithCells="1">
                  <from>
                    <xdr:col>1</xdr:col>
                    <xdr:colOff>19050</xdr:colOff>
                    <xdr:row>1</xdr:row>
                    <xdr:rowOff>165100</xdr:rowOff>
                  </from>
                  <to>
                    <xdr:col>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ODE</vt:lpstr>
      <vt:lpstr>ODE2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:description/>
  <cp:lastModifiedBy/>
  <dcterms:created xsi:type="dcterms:W3CDTF">2024-07-26T04:59:46Z</dcterms:created>
  <dcterms:modified xsi:type="dcterms:W3CDTF">2024-07-26T04:59:55Z</dcterms:modified>
</cp:coreProperties>
</file>