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726" codeName="{1BF75E64-36B4-4512-B9E4-3ED0869CA821}"/>
  <workbookPr filterPrivacy="1" codeName="ThisWorkbook" defaultThemeVersion="124226"/>
  <xr:revisionPtr revIDLastSave="0" documentId="13_ncr:1_{109ED3B1-1650-4E0C-8BE8-318155B3E96D}" xr6:coauthVersionLast="47" xr6:coauthVersionMax="47" xr10:uidLastSave="{00000000-0000-0000-0000-000000000000}"/>
  <bookViews>
    <workbookView xWindow="50" yWindow="70" windowWidth="19200" windowHeight="11280" tabRatio="784" xr2:uid="{00000000-000D-0000-FFFF-FFFF00000000}"/>
  </bookViews>
  <sheets>
    <sheet name="Hes" sheetId="3" r:id="rId1"/>
    <sheet name="Sym" sheetId="19" r:id="rId2"/>
    <sheet name="NSym" sheetId="18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" i="18" l="1"/>
  <c r="E10" i="18"/>
  <c r="E9" i="18"/>
  <c r="A17" i="18"/>
  <c r="A16" i="18"/>
  <c r="A15" i="18"/>
  <c r="A14" i="18"/>
  <c r="A13" i="18"/>
  <c r="A12" i="18"/>
  <c r="A11" i="18"/>
  <c r="A10" i="18"/>
  <c r="A9" i="18"/>
  <c r="E11" i="19"/>
  <c r="E10" i="19"/>
  <c r="E9" i="19"/>
  <c r="A14" i="19"/>
  <c r="A13" i="19"/>
  <c r="A12" i="19"/>
  <c r="A11" i="19"/>
  <c r="A10" i="19"/>
  <c r="A9" i="19"/>
  <c r="A14" i="3"/>
  <c r="A13" i="3"/>
  <c r="A12" i="3"/>
  <c r="E11" i="3"/>
  <c r="E10" i="3"/>
  <c r="E9" i="3"/>
  <c r="A11" i="3"/>
  <c r="A10" i="3"/>
  <c r="A9" i="3"/>
</calcChain>
</file>

<file path=xl/sharedStrings.xml><?xml version="1.0" encoding="utf-8"?>
<sst xmlns="http://schemas.openxmlformats.org/spreadsheetml/2006/main" count="49" uniqueCount="31">
  <si>
    <t>Val</t>
    <phoneticPr fontId="1"/>
  </si>
  <si>
    <t>Rowind</t>
    <phoneticPr fontId="1"/>
  </si>
  <si>
    <t>Colind</t>
    <phoneticPr fontId="1"/>
  </si>
  <si>
    <t>N</t>
    <phoneticPr fontId="1"/>
  </si>
  <si>
    <t>L</t>
  </si>
  <si>
    <t>Uplo</t>
    <phoneticPr fontId="1"/>
  </si>
  <si>
    <t>A</t>
    <phoneticPr fontId="1"/>
  </si>
  <si>
    <t>B</t>
    <phoneticPr fontId="1"/>
  </si>
  <si>
    <t>X</t>
    <phoneticPr fontId="1"/>
  </si>
  <si>
    <t>-0.819999999999983-0.939999999999993i</t>
  </si>
  <si>
    <t>0.739999999999985+0.199999999999988i</t>
  </si>
  <si>
    <t>0.480000000000002+0.209999999999999i</t>
  </si>
  <si>
    <t>-0.820000000000002-0.939999999999989i</t>
  </si>
  <si>
    <t>0.740000000000002+0.199999999999989i</t>
  </si>
  <si>
    <t>0.48+0.21i</t>
  </si>
  <si>
    <t>0.59-0.28i</t>
  </si>
  <si>
    <t>-0.2-0.04i</t>
  </si>
  <si>
    <t>0.24-0.49i</t>
  </si>
  <si>
    <t>System of linear equations (Non-symmetric matrices)</t>
    <phoneticPr fontId="1"/>
  </si>
  <si>
    <t>System of linear equations (Symmetric matrices)</t>
    <phoneticPr fontId="1"/>
  </si>
  <si>
    <t>System of linear equations (Hermitian matrices)</t>
    <phoneticPr fontId="1"/>
  </si>
  <si>
    <t>COO</t>
  </si>
  <si>
    <t>COO</t>
    <phoneticPr fontId="1"/>
  </si>
  <si>
    <t>Base (0/1)</t>
  </si>
  <si>
    <t>Base (0/1)</t>
    <phoneticPr fontId="1"/>
  </si>
  <si>
    <t>Solver</t>
  </si>
  <si>
    <t>Solver</t>
    <phoneticPr fontId="1"/>
  </si>
  <si>
    <t>Precon</t>
  </si>
  <si>
    <t>Precon</t>
    <phoneticPr fontId="1"/>
  </si>
  <si>
    <t>N</t>
  </si>
  <si>
    <t>Uplo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</si>
</sst>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5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3" borderId="2" xfId="0" applyFill="1" applyBorder="1">
      <alignment vertical="center"/>
    </xf>
    <xf numFmtId="0" fontId="0" fillId="3" borderId="5" xfId="0" applyFill="1" applyBorder="1">
      <alignment vertical="center"/>
    </xf>
    <xf numFmtId="0" fontId="0" fillId="3" borderId="4" xfId="0" applyFill="1" applyBorder="1">
      <alignment vertical="center"/>
    </xf>
    <xf numFmtId="0" fontId="0" fillId="3" borderId="3" xfId="0" applyFill="1" applyBorder="1">
      <alignment vertical="center"/>
    </xf>
    <xf numFmtId="0" fontId="0" fillId="2" borderId="1" xfId="0" applyFill="1" applyBorder="1">
      <alignment vertical="center"/>
    </xf>
    <xf numFmtId="0" fontId="0" fillId="3" borderId="1" xfId="0" applyFill="1" applyBorder="1">
      <alignment vertical="center"/>
    </xf>
    <xf numFmtId="0" fontId="0" fillId="0" borderId="5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</xdr:colOff>
          <xdr:row>3</xdr:row>
          <xdr:rowOff>6350</xdr:rowOff>
        </xdr:from>
        <xdr:to>
          <xdr:col>6</xdr:col>
          <xdr:colOff>768350</xdr:colOff>
          <xdr:row>4</xdr:row>
          <xdr:rowOff>6350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Compute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133350</xdr:colOff>
          <xdr:row>2</xdr:row>
          <xdr:rowOff>165100</xdr:rowOff>
        </xdr:from>
        <xdr:to>
          <xdr:col>8</xdr:col>
          <xdr:colOff>133350</xdr:colOff>
          <xdr:row>3</xdr:row>
          <xdr:rowOff>165100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</xdr:colOff>
          <xdr:row>3</xdr:row>
          <xdr:rowOff>6350</xdr:rowOff>
        </xdr:from>
        <xdr:to>
          <xdr:col>6</xdr:col>
          <xdr:colOff>768350</xdr:colOff>
          <xdr:row>4</xdr:row>
          <xdr:rowOff>6350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1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Compute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133350</xdr:colOff>
          <xdr:row>2</xdr:row>
          <xdr:rowOff>165100</xdr:rowOff>
        </xdr:from>
        <xdr:to>
          <xdr:col>8</xdr:col>
          <xdr:colOff>133350</xdr:colOff>
          <xdr:row>3</xdr:row>
          <xdr:rowOff>165100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1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</xdr:colOff>
          <xdr:row>3</xdr:row>
          <xdr:rowOff>6350</xdr:rowOff>
        </xdr:from>
        <xdr:to>
          <xdr:col>6</xdr:col>
          <xdr:colOff>768350</xdr:colOff>
          <xdr:row>4</xdr:row>
          <xdr:rowOff>6350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2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Compute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133350</xdr:colOff>
          <xdr:row>2</xdr:row>
          <xdr:rowOff>165100</xdr:rowOff>
        </xdr:from>
        <xdr:to>
          <xdr:col>8</xdr:col>
          <xdr:colOff>133350</xdr:colOff>
          <xdr:row>3</xdr:row>
          <xdr:rowOff>165100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2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28"/>
  <sheetViews>
    <sheetView tabSelected="1" zoomScale="95" zoomScaleNormal="95" workbookViewId="0"/>
  </sheetViews>
  <sheetFormatPr defaultRowHeight="13" x14ac:dyDescent="0.2"/>
  <cols>
    <col min="1" max="1" width="12.6328125" customWidth="1"/>
    <col min="2" max="2" width="9.7265625" customWidth="1"/>
    <col min="4" max="4" width="8.6328125" customWidth="1"/>
    <col min="5" max="5" width="12.6328125" customWidth="1"/>
    <col min="6" max="6" width="5.6328125" customWidth="1"/>
    <col min="7" max="7" width="12.6328125" customWidth="1"/>
  </cols>
  <sheetData>
    <row r="1" spans="1:7" x14ac:dyDescent="0.2">
      <c r="A1" s="1" t="s">
        <v>20</v>
      </c>
    </row>
    <row r="2" spans="1:7" x14ac:dyDescent="0.2">
      <c r="A2" s="2"/>
    </row>
    <row r="3" spans="1:7" x14ac:dyDescent="0.2">
      <c r="A3" t="s">
        <v>22</v>
      </c>
    </row>
    <row r="4" spans="1:7" x14ac:dyDescent="0.2">
      <c r="A4" s="10" t="s">
        <v>3</v>
      </c>
      <c r="B4" s="11">
        <v>3</v>
      </c>
      <c r="D4" s="10" t="s">
        <v>26</v>
      </c>
      <c r="E4" s="11">
        <v>1</v>
      </c>
    </row>
    <row r="5" spans="1:7" x14ac:dyDescent="0.2">
      <c r="A5" s="10" t="s">
        <v>24</v>
      </c>
      <c r="B5" s="11">
        <v>0</v>
      </c>
      <c r="D5" s="10" t="s">
        <v>28</v>
      </c>
      <c r="E5" s="11">
        <v>0</v>
      </c>
    </row>
    <row r="6" spans="1:7" x14ac:dyDescent="0.2">
      <c r="A6" s="10" t="s">
        <v>5</v>
      </c>
      <c r="B6" s="11" t="s">
        <v>4</v>
      </c>
    </row>
    <row r="7" spans="1:7" x14ac:dyDescent="0.2">
      <c r="A7" t="s">
        <v>6</v>
      </c>
    </row>
    <row r="8" spans="1:7" x14ac:dyDescent="0.2">
      <c r="A8" s="10" t="s">
        <v>0</v>
      </c>
      <c r="B8" s="10" t="s">
        <v>1</v>
      </c>
      <c r="C8" s="10" t="s">
        <v>2</v>
      </c>
      <c r="E8" s="10" t="s">
        <v>7</v>
      </c>
      <c r="G8" s="10" t="s">
        <v>8</v>
      </c>
    </row>
    <row r="9" spans="1:7" x14ac:dyDescent="0.2">
      <c r="A9" s="6" t="str">
        <f>COMPLEX(1.4,0)</f>
        <v>1.4</v>
      </c>
      <c r="B9" s="6">
        <v>0</v>
      </c>
      <c r="C9" s="6">
        <v>0</v>
      </c>
      <c r="E9" s="6" t="str">
        <f>COMPLEX(-2.3215,-1.1316)</f>
        <v>-2.3215-1.1316i</v>
      </c>
      <c r="G9" s="3" t="s">
        <v>9</v>
      </c>
    </row>
    <row r="10" spans="1:7" x14ac:dyDescent="0.2">
      <c r="A10" s="7" t="str">
        <f>COMPLEX(-1.5,-0.46)</f>
        <v>-1.5-0.46i</v>
      </c>
      <c r="B10" s="7">
        <v>1</v>
      </c>
      <c r="C10" s="7">
        <v>0</v>
      </c>
      <c r="E10" s="7" t="str">
        <f>COMPLEX(1.7972,2.0692)</f>
        <v>1.7972+2.0692i</v>
      </c>
      <c r="G10" s="12" t="s">
        <v>10</v>
      </c>
    </row>
    <row r="11" spans="1:7" x14ac:dyDescent="0.2">
      <c r="A11" s="7" t="str">
        <f>COMPLEX(0.16,-0.23)</f>
        <v>0.16-0.23i</v>
      </c>
      <c r="B11" s="7">
        <v>2</v>
      </c>
      <c r="C11" s="7">
        <v>0</v>
      </c>
      <c r="E11" s="7" t="str">
        <f>COMPLEX(-0.4042,-0.0049)</f>
        <v>-0.4042-0.0049i</v>
      </c>
      <c r="G11" s="12" t="s">
        <v>11</v>
      </c>
    </row>
    <row r="12" spans="1:7" x14ac:dyDescent="0.2">
      <c r="A12" s="7" t="str">
        <f>COMPLEX(1.44,0)</f>
        <v>1.44</v>
      </c>
      <c r="B12" s="7">
        <v>1</v>
      </c>
      <c r="C12" s="7">
        <v>1</v>
      </c>
      <c r="E12" s="7"/>
      <c r="G12" s="12"/>
    </row>
    <row r="13" spans="1:7" x14ac:dyDescent="0.2">
      <c r="A13" s="8" t="str">
        <f>COMPLEX(-0.12,-0.04)</f>
        <v>-0.12-0.04i</v>
      </c>
      <c r="B13" s="8">
        <v>2</v>
      </c>
      <c r="C13" s="8">
        <v>1</v>
      </c>
      <c r="E13" s="8"/>
      <c r="G13" s="5"/>
    </row>
    <row r="14" spans="1:7" x14ac:dyDescent="0.2">
      <c r="A14" s="6" t="str">
        <f>COMPLEX(0.05,0)</f>
        <v>0.05</v>
      </c>
      <c r="B14" s="6">
        <v>2</v>
      </c>
      <c r="C14" s="6">
        <v>2</v>
      </c>
      <c r="E14" s="6"/>
      <c r="G14" s="3"/>
    </row>
    <row r="15" spans="1:7" x14ac:dyDescent="0.2">
      <c r="A15" s="7"/>
      <c r="B15" s="7"/>
      <c r="C15" s="7"/>
      <c r="E15" s="7"/>
      <c r="G15" s="12"/>
    </row>
    <row r="16" spans="1:7" x14ac:dyDescent="0.2">
      <c r="A16" s="7"/>
      <c r="B16" s="7"/>
      <c r="C16" s="7"/>
      <c r="E16" s="7"/>
      <c r="G16" s="12"/>
    </row>
    <row r="17" spans="1:7" x14ac:dyDescent="0.2">
      <c r="A17" s="7"/>
      <c r="B17" s="7"/>
      <c r="C17" s="7"/>
      <c r="E17" s="7"/>
      <c r="G17" s="12"/>
    </row>
    <row r="18" spans="1:7" x14ac:dyDescent="0.2">
      <c r="A18" s="8"/>
      <c r="B18" s="8"/>
      <c r="C18" s="8"/>
      <c r="E18" s="8"/>
      <c r="G18" s="5"/>
    </row>
    <row r="19" spans="1:7" x14ac:dyDescent="0.2">
      <c r="A19" s="6"/>
      <c r="B19" s="6"/>
      <c r="C19" s="6"/>
      <c r="E19" s="6"/>
      <c r="G19" s="3"/>
    </row>
    <row r="20" spans="1:7" x14ac:dyDescent="0.2">
      <c r="A20" s="7"/>
      <c r="B20" s="7"/>
      <c r="C20" s="7"/>
      <c r="E20" s="7"/>
      <c r="G20" s="12"/>
    </row>
    <row r="21" spans="1:7" x14ac:dyDescent="0.2">
      <c r="A21" s="7"/>
      <c r="B21" s="7"/>
      <c r="C21" s="7"/>
      <c r="E21" s="7"/>
      <c r="G21" s="12"/>
    </row>
    <row r="22" spans="1:7" x14ac:dyDescent="0.2">
      <c r="A22" s="7"/>
      <c r="B22" s="7"/>
      <c r="C22" s="7"/>
      <c r="E22" s="7"/>
      <c r="G22" s="12"/>
    </row>
    <row r="23" spans="1:7" x14ac:dyDescent="0.2">
      <c r="A23" s="8"/>
      <c r="B23" s="8"/>
      <c r="C23" s="8"/>
      <c r="E23" s="8"/>
      <c r="G23" s="5"/>
    </row>
    <row r="24" spans="1:7" x14ac:dyDescent="0.2">
      <c r="A24" s="6"/>
      <c r="B24" s="6"/>
      <c r="C24" s="6"/>
      <c r="E24" s="6"/>
      <c r="G24" s="3"/>
    </row>
    <row r="25" spans="1:7" x14ac:dyDescent="0.2">
      <c r="A25" s="7"/>
      <c r="B25" s="7"/>
      <c r="C25" s="7"/>
      <c r="E25" s="7"/>
      <c r="G25" s="12"/>
    </row>
    <row r="26" spans="1:7" x14ac:dyDescent="0.2">
      <c r="A26" s="7"/>
      <c r="B26" s="7"/>
      <c r="C26" s="7"/>
      <c r="E26" s="7"/>
      <c r="G26" s="12"/>
    </row>
    <row r="27" spans="1:7" x14ac:dyDescent="0.2">
      <c r="A27" s="9"/>
      <c r="B27" s="9"/>
      <c r="C27" s="9"/>
      <c r="E27" s="9"/>
      <c r="G27" s="4"/>
    </row>
    <row r="28" spans="1:7" x14ac:dyDescent="0.2">
      <c r="A28" s="8"/>
      <c r="B28" s="8"/>
      <c r="C28" s="8"/>
      <c r="E28" s="8"/>
      <c r="G28" s="5"/>
    </row>
  </sheetData>
  <phoneticPr fontId="1"/>
  <dataValidations count="3">
    <dataValidation type="list" allowBlank="1" showInputMessage="1" showErrorMessage="1" sqref="B6" xr:uid="{DE3305DB-E4E2-4FDA-9633-6422F8A03126}">
      <formula1>"L, U"</formula1>
    </dataValidation>
    <dataValidation type="whole" allowBlank="1" showInputMessage="1" showErrorMessage="1" prompt="0: None_x000a_1: DS_x000a_2: SSOR_x000a_3: IC0" sqref="E5" xr:uid="{A54C1854-53DF-44EC-8FAA-1B4B9F8620A9}">
      <formula1>0</formula1>
      <formula2>3</formula2>
    </dataValidation>
    <dataValidation type="whole" allowBlank="1" showInputMessage="1" showErrorMessage="1" prompt="1: Cg_x000a_2: Cr" sqref="E4" xr:uid="{FC574DFB-7385-48C8-A6CA-08115A1E5C7D}">
      <formula1>1</formula1>
      <formula2>2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mpHSol">
                <anchor moveWithCells="1" sizeWithCells="1">
                  <from>
                    <xdr:col>6</xdr:col>
                    <xdr:colOff>6350</xdr:colOff>
                    <xdr:row>3</xdr:row>
                    <xdr:rowOff>6350</xdr:rowOff>
                  </from>
                  <to>
                    <xdr:col>6</xdr:col>
                    <xdr:colOff>768350</xdr:colOff>
                    <xdr:row>4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_xludf.Clear">
                <anchor moveWithCells="1" sizeWithCells="1">
                  <from>
                    <xdr:col>7</xdr:col>
                    <xdr:colOff>133350</xdr:colOff>
                    <xdr:row>2</xdr:row>
                    <xdr:rowOff>165100</xdr:rowOff>
                  </from>
                  <to>
                    <xdr:col>8</xdr:col>
                    <xdr:colOff>133350</xdr:colOff>
                    <xdr:row>3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F216C6-D604-4D4F-8B6D-6FDFB68340FE}">
  <sheetPr codeName="Sheet3"/>
  <dimension ref="A1:G28"/>
  <sheetViews>
    <sheetView zoomScale="95" zoomScaleNormal="95" workbookViewId="0"/>
  </sheetViews>
  <sheetFormatPr defaultRowHeight="13" x14ac:dyDescent="0.2"/>
  <cols>
    <col min="1" max="1" width="12.6328125" customWidth="1"/>
    <col min="2" max="2" width="9.7265625" customWidth="1"/>
    <col min="4" max="4" width="8.6328125" customWidth="1"/>
    <col min="5" max="5" width="12.6328125" customWidth="1"/>
    <col min="6" max="6" width="5.6328125" customWidth="1"/>
    <col min="7" max="7" width="12.6328125" customWidth="1"/>
  </cols>
  <sheetData>
    <row r="1" spans="1:7" x14ac:dyDescent="0.2">
      <c r="A1" s="1" t="s">
        <v>19</v>
      </c>
    </row>
    <row r="2" spans="1:7" x14ac:dyDescent="0.2">
      <c r="A2" s="2"/>
    </row>
    <row r="3" spans="1:7" x14ac:dyDescent="0.2">
      <c r="A3" t="s">
        <v>21</v>
      </c>
    </row>
    <row r="4" spans="1:7" x14ac:dyDescent="0.2">
      <c r="A4" s="10" t="s">
        <v>29</v>
      </c>
      <c r="B4" s="11">
        <v>3</v>
      </c>
      <c r="D4" s="10" t="s">
        <v>25</v>
      </c>
      <c r="E4" s="11">
        <v>1</v>
      </c>
    </row>
    <row r="5" spans="1:7" x14ac:dyDescent="0.2">
      <c r="A5" s="10" t="s">
        <v>23</v>
      </c>
      <c r="B5" s="11">
        <v>0</v>
      </c>
      <c r="D5" s="10" t="s">
        <v>27</v>
      </c>
      <c r="E5" s="11">
        <v>0</v>
      </c>
    </row>
    <row r="6" spans="1:7" x14ac:dyDescent="0.2">
      <c r="A6" s="10" t="s">
        <v>30</v>
      </c>
      <c r="B6" s="11" t="s">
        <v>4</v>
      </c>
    </row>
    <row r="7" spans="1:7" x14ac:dyDescent="0.2">
      <c r="A7" t="s">
        <v>6</v>
      </c>
    </row>
    <row r="8" spans="1:7" x14ac:dyDescent="0.2">
      <c r="A8" s="10" t="s">
        <v>0</v>
      </c>
      <c r="B8" s="10" t="s">
        <v>1</v>
      </c>
      <c r="C8" s="10" t="s">
        <v>2</v>
      </c>
      <c r="E8" s="10" t="s">
        <v>7</v>
      </c>
      <c r="G8" s="10" t="s">
        <v>8</v>
      </c>
    </row>
    <row r="9" spans="1:7" x14ac:dyDescent="0.2">
      <c r="A9" s="6" t="str">
        <f>COMPLEX(1.4,0)</f>
        <v>1.4</v>
      </c>
      <c r="B9" s="6">
        <v>0</v>
      </c>
      <c r="C9" s="6">
        <v>0</v>
      </c>
      <c r="E9" s="6" t="str">
        <f>COMPLEX(-2.0409,-2.0332)</f>
        <v>-2.0409-2.0332i</v>
      </c>
      <c r="G9" s="3" t="s">
        <v>12</v>
      </c>
    </row>
    <row r="10" spans="1:7" x14ac:dyDescent="0.2">
      <c r="A10" s="7" t="str">
        <f>COMPLEX(-1.5,-0.46)</f>
        <v>-1.5-0.46i</v>
      </c>
      <c r="B10" s="7">
        <v>1</v>
      </c>
      <c r="C10" s="7">
        <v>0</v>
      </c>
      <c r="E10" s="7" t="str">
        <f>COMPLEX(1.814,2.0308)</f>
        <v>1.814+2.0308i</v>
      </c>
      <c r="G10" s="12" t="s">
        <v>13</v>
      </c>
    </row>
    <row r="11" spans="1:7" x14ac:dyDescent="0.2">
      <c r="A11" s="7" t="str">
        <f>COMPLEX(0.16,-0.23)</f>
        <v>0.16-0.23i</v>
      </c>
      <c r="B11" s="7">
        <v>2</v>
      </c>
      <c r="C11" s="7">
        <v>0</v>
      </c>
      <c r="E11" s="7" t="str">
        <f>COMPLEX(-0.4042,-0.0049)</f>
        <v>-0.4042-0.0049i</v>
      </c>
      <c r="G11" s="12" t="s">
        <v>14</v>
      </c>
    </row>
    <row r="12" spans="1:7" x14ac:dyDescent="0.2">
      <c r="A12" s="7" t="str">
        <f>COMPLEX(1.44,0)</f>
        <v>1.44</v>
      </c>
      <c r="B12" s="7">
        <v>1</v>
      </c>
      <c r="C12" s="7">
        <v>1</v>
      </c>
      <c r="E12" s="7"/>
      <c r="G12" s="12"/>
    </row>
    <row r="13" spans="1:7" x14ac:dyDescent="0.2">
      <c r="A13" s="8" t="str">
        <f>COMPLEX(-0.12,-0.04)</f>
        <v>-0.12-0.04i</v>
      </c>
      <c r="B13" s="8">
        <v>2</v>
      </c>
      <c r="C13" s="8">
        <v>1</v>
      </c>
      <c r="E13" s="8"/>
      <c r="G13" s="5"/>
    </row>
    <row r="14" spans="1:7" x14ac:dyDescent="0.2">
      <c r="A14" s="6" t="str">
        <f>COMPLEX(0.05,0)</f>
        <v>0.05</v>
      </c>
      <c r="B14" s="6">
        <v>2</v>
      </c>
      <c r="C14" s="6">
        <v>2</v>
      </c>
      <c r="E14" s="6"/>
      <c r="G14" s="3"/>
    </row>
    <row r="15" spans="1:7" x14ac:dyDescent="0.2">
      <c r="A15" s="7"/>
      <c r="B15" s="7"/>
      <c r="C15" s="7"/>
      <c r="E15" s="7"/>
      <c r="G15" s="12"/>
    </row>
    <row r="16" spans="1:7" x14ac:dyDescent="0.2">
      <c r="A16" s="7"/>
      <c r="B16" s="7"/>
      <c r="C16" s="7"/>
      <c r="E16" s="7"/>
      <c r="G16" s="12"/>
    </row>
    <row r="17" spans="1:7" x14ac:dyDescent="0.2">
      <c r="A17" s="7"/>
      <c r="B17" s="7"/>
      <c r="C17" s="7"/>
      <c r="E17" s="7"/>
      <c r="G17" s="12"/>
    </row>
    <row r="18" spans="1:7" x14ac:dyDescent="0.2">
      <c r="A18" s="8"/>
      <c r="B18" s="8"/>
      <c r="C18" s="8"/>
      <c r="E18" s="8"/>
      <c r="G18" s="5"/>
    </row>
    <row r="19" spans="1:7" x14ac:dyDescent="0.2">
      <c r="A19" s="6"/>
      <c r="B19" s="6"/>
      <c r="C19" s="6"/>
      <c r="E19" s="6"/>
      <c r="G19" s="3"/>
    </row>
    <row r="20" spans="1:7" x14ac:dyDescent="0.2">
      <c r="A20" s="7"/>
      <c r="B20" s="7"/>
      <c r="C20" s="7"/>
      <c r="E20" s="7"/>
      <c r="G20" s="12"/>
    </row>
    <row r="21" spans="1:7" x14ac:dyDescent="0.2">
      <c r="A21" s="7"/>
      <c r="B21" s="7"/>
      <c r="C21" s="7"/>
      <c r="E21" s="7"/>
      <c r="G21" s="12"/>
    </row>
    <row r="22" spans="1:7" x14ac:dyDescent="0.2">
      <c r="A22" s="7"/>
      <c r="B22" s="7"/>
      <c r="C22" s="7"/>
      <c r="E22" s="7"/>
      <c r="G22" s="12"/>
    </row>
    <row r="23" spans="1:7" x14ac:dyDescent="0.2">
      <c r="A23" s="8"/>
      <c r="B23" s="8"/>
      <c r="C23" s="8"/>
      <c r="E23" s="8"/>
      <c r="G23" s="5"/>
    </row>
    <row r="24" spans="1:7" x14ac:dyDescent="0.2">
      <c r="A24" s="6"/>
      <c r="B24" s="6"/>
      <c r="C24" s="6"/>
      <c r="E24" s="6"/>
      <c r="G24" s="3"/>
    </row>
    <row r="25" spans="1:7" x14ac:dyDescent="0.2">
      <c r="A25" s="7"/>
      <c r="B25" s="7"/>
      <c r="C25" s="7"/>
      <c r="E25" s="7"/>
      <c r="G25" s="12"/>
    </row>
    <row r="26" spans="1:7" x14ac:dyDescent="0.2">
      <c r="A26" s="7"/>
      <c r="B26" s="7"/>
      <c r="C26" s="7"/>
      <c r="E26" s="7"/>
      <c r="G26" s="12"/>
    </row>
    <row r="27" spans="1:7" x14ac:dyDescent="0.2">
      <c r="A27" s="9"/>
      <c r="B27" s="9"/>
      <c r="C27" s="9"/>
      <c r="E27" s="9"/>
      <c r="G27" s="4"/>
    </row>
    <row r="28" spans="1:7" x14ac:dyDescent="0.2">
      <c r="A28" s="8"/>
      <c r="B28" s="8"/>
      <c r="C28" s="8"/>
      <c r="E28" s="8"/>
      <c r="G28" s="5"/>
    </row>
  </sheetData>
  <phoneticPr fontId="1"/>
  <dataValidations count="3">
    <dataValidation type="whole" allowBlank="1" showInputMessage="1" showErrorMessage="1" prompt="0: None_x000a_1: DS_x000a_2: SSOR_x000a_3: IC0" sqref="E5" xr:uid="{0DB40CF1-831D-4A30-B216-78B872CCAE2E}">
      <formula1>0</formula1>
      <formula2>3</formula2>
    </dataValidation>
    <dataValidation type="list" allowBlank="1" showInputMessage="1" showErrorMessage="1" sqref="B6" xr:uid="{DC0B8B74-BA91-4B4E-B23E-5B0836C45970}">
      <formula1>"L, U"</formula1>
    </dataValidation>
    <dataValidation type="whole" allowBlank="1" showInputMessage="1" showErrorMessage="1" prompt="1: Cocg_x000a_2: Cocr" sqref="E4" xr:uid="{0FBA093F-5954-4F95-9ADF-9854652ADB7D}">
      <formula1>1</formula1>
      <formula2>2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Button 1">
              <controlPr defaultSize="0" print="0" autoFill="0" autoPict="0" macro="[0]!CompSSol">
                <anchor moveWithCells="1" sizeWithCells="1">
                  <from>
                    <xdr:col>6</xdr:col>
                    <xdr:colOff>6350</xdr:colOff>
                    <xdr:row>3</xdr:row>
                    <xdr:rowOff>6350</xdr:rowOff>
                  </from>
                  <to>
                    <xdr:col>6</xdr:col>
                    <xdr:colOff>768350</xdr:colOff>
                    <xdr:row>4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5" name="Button 2">
              <controlPr defaultSize="0" print="0" autoFill="0" autoPict="0" macro="[0]!_xludf.Clear">
                <anchor moveWithCells="1" sizeWithCells="1">
                  <from>
                    <xdr:col>7</xdr:col>
                    <xdr:colOff>133350</xdr:colOff>
                    <xdr:row>2</xdr:row>
                    <xdr:rowOff>165100</xdr:rowOff>
                  </from>
                  <to>
                    <xdr:col>8</xdr:col>
                    <xdr:colOff>133350</xdr:colOff>
                    <xdr:row>3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69076F-F072-48CA-843A-905431410D8A}">
  <sheetPr codeName="Sheet2"/>
  <dimension ref="A1:G28"/>
  <sheetViews>
    <sheetView zoomScale="95" zoomScaleNormal="95" workbookViewId="0"/>
  </sheetViews>
  <sheetFormatPr defaultRowHeight="13" x14ac:dyDescent="0.2"/>
  <cols>
    <col min="1" max="1" width="12.6328125" customWidth="1"/>
    <col min="2" max="2" width="9.7265625" customWidth="1"/>
    <col min="4" max="4" width="8.6328125" customWidth="1"/>
    <col min="5" max="5" width="12.6328125" customWidth="1"/>
    <col min="6" max="6" width="5.6328125" customWidth="1"/>
    <col min="7" max="7" width="12.6328125" customWidth="1"/>
  </cols>
  <sheetData>
    <row r="1" spans="1:7" x14ac:dyDescent="0.2">
      <c r="A1" s="1" t="s">
        <v>18</v>
      </c>
    </row>
    <row r="2" spans="1:7" x14ac:dyDescent="0.2">
      <c r="A2" s="2"/>
    </row>
    <row r="3" spans="1:7" x14ac:dyDescent="0.2">
      <c r="A3" t="s">
        <v>21</v>
      </c>
    </row>
    <row r="4" spans="1:7" x14ac:dyDescent="0.2">
      <c r="A4" s="10" t="s">
        <v>29</v>
      </c>
      <c r="B4" s="11">
        <v>3</v>
      </c>
      <c r="D4" s="10" t="s">
        <v>25</v>
      </c>
      <c r="E4" s="11">
        <v>5</v>
      </c>
    </row>
    <row r="5" spans="1:7" x14ac:dyDescent="0.2">
      <c r="A5" s="10" t="s">
        <v>23</v>
      </c>
      <c r="B5" s="11">
        <v>0</v>
      </c>
      <c r="D5" s="10" t="s">
        <v>27</v>
      </c>
      <c r="E5" s="11">
        <v>0</v>
      </c>
    </row>
    <row r="7" spans="1:7" x14ac:dyDescent="0.2">
      <c r="A7" t="s">
        <v>6</v>
      </c>
    </row>
    <row r="8" spans="1:7" x14ac:dyDescent="0.2">
      <c r="A8" s="10" t="s">
        <v>0</v>
      </c>
      <c r="B8" s="10" t="s">
        <v>1</v>
      </c>
      <c r="C8" s="10" t="s">
        <v>2</v>
      </c>
      <c r="E8" s="10" t="s">
        <v>7</v>
      </c>
      <c r="G8" s="10" t="s">
        <v>8</v>
      </c>
    </row>
    <row r="9" spans="1:7" x14ac:dyDescent="0.2">
      <c r="A9" s="6" t="str">
        <f>COMPLEX(0.78,0.16)</f>
        <v>0.78+0.16i</v>
      </c>
      <c r="B9" s="6">
        <v>0</v>
      </c>
      <c r="C9" s="6">
        <v>0</v>
      </c>
      <c r="E9" s="6" t="str">
        <f>COMPLEX(0.2126,-0.2904)</f>
        <v>0.2126-0.2904i</v>
      </c>
      <c r="G9" s="3" t="s">
        <v>15</v>
      </c>
    </row>
    <row r="10" spans="1:7" x14ac:dyDescent="0.2">
      <c r="A10" s="7" t="str">
        <f>COMPLEX(0.73,0.63)</f>
        <v>0.73+0.63i</v>
      </c>
      <c r="B10" s="7">
        <v>1</v>
      </c>
      <c r="C10" s="7">
        <v>0</v>
      </c>
      <c r="E10" s="7" t="str">
        <f>COMPLEX(-0.3028,0.3346)</f>
        <v>-0.3028+0.3346i</v>
      </c>
      <c r="G10" s="12" t="s">
        <v>16</v>
      </c>
    </row>
    <row r="11" spans="1:7" x14ac:dyDescent="0.2">
      <c r="A11" s="7" t="str">
        <f>COMPLEX(0.23,-1.37)</f>
        <v>0.23-1.37i</v>
      </c>
      <c r="B11" s="7">
        <v>2</v>
      </c>
      <c r="C11" s="7">
        <v>0</v>
      </c>
      <c r="E11" s="7" t="str">
        <f>COMPLEX(-1.2905,-1.0346)</f>
        <v>-1.2905-1.0346i</v>
      </c>
      <c r="G11" s="12" t="s">
        <v>17</v>
      </c>
    </row>
    <row r="12" spans="1:7" x14ac:dyDescent="0.2">
      <c r="A12" s="7" t="str">
        <f>COMPLEX(-0.9,-1.46)</f>
        <v>-0.9-1.46i</v>
      </c>
      <c r="B12" s="7">
        <v>0</v>
      </c>
      <c r="C12" s="7">
        <v>1</v>
      </c>
      <c r="E12" s="7"/>
      <c r="G12" s="12"/>
    </row>
    <row r="13" spans="1:7" x14ac:dyDescent="0.2">
      <c r="A13" s="8" t="str">
        <f>COMPLEX(1.58,-1.24)</f>
        <v>1.58-1.24i</v>
      </c>
      <c r="B13" s="8">
        <v>1</v>
      </c>
      <c r="C13" s="8">
        <v>1</v>
      </c>
      <c r="E13" s="8"/>
      <c r="G13" s="5"/>
    </row>
    <row r="14" spans="1:7" x14ac:dyDescent="0.2">
      <c r="A14" s="6" t="str">
        <f>COMPLEX(0.79,0.64)</f>
        <v>0.79+0.64i</v>
      </c>
      <c r="B14" s="6">
        <v>2</v>
      </c>
      <c r="C14" s="6">
        <v>1</v>
      </c>
      <c r="E14" s="6"/>
      <c r="G14" s="3"/>
    </row>
    <row r="15" spans="1:7" x14ac:dyDescent="0.2">
      <c r="A15" s="7" t="str">
        <f>COMPLEX(0.48,-1.08)</f>
        <v>0.48-1.08i</v>
      </c>
      <c r="B15" s="7">
        <v>0</v>
      </c>
      <c r="C15" s="7">
        <v>2</v>
      </c>
      <c r="E15" s="7"/>
      <c r="G15" s="12"/>
    </row>
    <row r="16" spans="1:7" x14ac:dyDescent="0.2">
      <c r="A16" s="7" t="str">
        <f>COMPLEX(-0.41,-0.91)</f>
        <v>-0.41-0.91i</v>
      </c>
      <c r="B16" s="7">
        <v>1</v>
      </c>
      <c r="C16" s="7">
        <v>2</v>
      </c>
      <c r="E16" s="7"/>
      <c r="G16" s="12"/>
    </row>
    <row r="17" spans="1:7" x14ac:dyDescent="0.2">
      <c r="A17" s="7" t="str">
        <f>COMPLEX(-0.73,-1.5)</f>
        <v>-0.73-1.5i</v>
      </c>
      <c r="B17" s="7">
        <v>2</v>
      </c>
      <c r="C17" s="7">
        <v>2</v>
      </c>
      <c r="E17" s="7"/>
      <c r="G17" s="12"/>
    </row>
    <row r="18" spans="1:7" x14ac:dyDescent="0.2">
      <c r="A18" s="8"/>
      <c r="B18" s="8"/>
      <c r="C18" s="8"/>
      <c r="E18" s="8"/>
      <c r="G18" s="5"/>
    </row>
    <row r="19" spans="1:7" x14ac:dyDescent="0.2">
      <c r="A19" s="6"/>
      <c r="B19" s="6"/>
      <c r="C19" s="6"/>
      <c r="E19" s="6"/>
      <c r="G19" s="3"/>
    </row>
    <row r="20" spans="1:7" x14ac:dyDescent="0.2">
      <c r="A20" s="7"/>
      <c r="B20" s="7"/>
      <c r="C20" s="7"/>
      <c r="E20" s="7"/>
      <c r="G20" s="12"/>
    </row>
    <row r="21" spans="1:7" x14ac:dyDescent="0.2">
      <c r="A21" s="7"/>
      <c r="B21" s="7"/>
      <c r="C21" s="7"/>
      <c r="E21" s="7"/>
      <c r="G21" s="12"/>
    </row>
    <row r="22" spans="1:7" x14ac:dyDescent="0.2">
      <c r="A22" s="7"/>
      <c r="B22" s="7"/>
      <c r="C22" s="7"/>
      <c r="E22" s="7"/>
      <c r="G22" s="12"/>
    </row>
    <row r="23" spans="1:7" x14ac:dyDescent="0.2">
      <c r="A23" s="8"/>
      <c r="B23" s="8"/>
      <c r="C23" s="8"/>
      <c r="E23" s="8"/>
      <c r="G23" s="5"/>
    </row>
    <row r="24" spans="1:7" x14ac:dyDescent="0.2">
      <c r="A24" s="6"/>
      <c r="B24" s="6"/>
      <c r="C24" s="6"/>
      <c r="E24" s="6"/>
      <c r="G24" s="3"/>
    </row>
    <row r="25" spans="1:7" x14ac:dyDescent="0.2">
      <c r="A25" s="7"/>
      <c r="B25" s="7"/>
      <c r="C25" s="7"/>
      <c r="E25" s="7"/>
      <c r="G25" s="12"/>
    </row>
    <row r="26" spans="1:7" x14ac:dyDescent="0.2">
      <c r="A26" s="7"/>
      <c r="B26" s="7"/>
      <c r="C26" s="7"/>
      <c r="E26" s="7"/>
      <c r="G26" s="12"/>
    </row>
    <row r="27" spans="1:7" x14ac:dyDescent="0.2">
      <c r="A27" s="9"/>
      <c r="B27" s="9"/>
      <c r="C27" s="9"/>
      <c r="E27" s="9"/>
      <c r="G27" s="4"/>
    </row>
    <row r="28" spans="1:7" x14ac:dyDescent="0.2">
      <c r="A28" s="8"/>
      <c r="B28" s="8"/>
      <c r="C28" s="8"/>
      <c r="E28" s="8"/>
      <c r="G28" s="5"/>
    </row>
  </sheetData>
  <phoneticPr fontId="1"/>
  <dataValidations count="2">
    <dataValidation type="whole" allowBlank="1" showInputMessage="1" showErrorMessage="1" prompt="0: None_x000a_1: DS_x000a_2: SSOR_x000a_3: ILU0_x000a_4: ILUP" sqref="E5" xr:uid="{D5F06448-D1F9-4C32-8D07-E820C62D8B14}">
      <formula1>0</formula1>
      <formula2>4</formula2>
    </dataValidation>
    <dataValidation type="whole" allowBlank="1" showInputMessage="1" showErrorMessage="1" prompt="1: Bicg, 2: Cgs_x000a_3: Diom, 4: Dqgmres_x000a_5:Fgmres, 6: Fom_x000a_7: Gcr, 8: Gpbicg_x000a_9: Orthomin, 10: Qmr_x000a_11: Tfqmr_x000a_" sqref="E4" xr:uid="{3A89F61A-3947-44F7-83CA-9ACFE9BD758F}">
      <formula1>0</formula1>
      <formula2>11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CompNSol">
                <anchor moveWithCells="1" sizeWithCells="1">
                  <from>
                    <xdr:col>6</xdr:col>
                    <xdr:colOff>6350</xdr:colOff>
                    <xdr:row>3</xdr:row>
                    <xdr:rowOff>6350</xdr:rowOff>
                  </from>
                  <to>
                    <xdr:col>6</xdr:col>
                    <xdr:colOff>768350</xdr:colOff>
                    <xdr:row>4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5" name="Button 2">
              <controlPr defaultSize="0" print="0" autoFill="0" autoPict="0" macro="[0]!_xludf.Clear">
                <anchor moveWithCells="1" sizeWithCells="1">
                  <from>
                    <xdr:col>7</xdr:col>
                    <xdr:colOff>133350</xdr:colOff>
                    <xdr:row>2</xdr:row>
                    <xdr:rowOff>165100</xdr:rowOff>
                  </from>
                  <to>
                    <xdr:col>8</xdr:col>
                    <xdr:colOff>133350</xdr:colOff>
                    <xdr:row>3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Hes</vt:lpstr>
      <vt:lpstr>Sym</vt:lpstr>
      <vt:lpstr>NSym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dc:description/>
  <cp:lastModifiedBy/>
  <dcterms:created xsi:type="dcterms:W3CDTF">2024-07-26T04:53:00Z</dcterms:created>
  <dcterms:modified xsi:type="dcterms:W3CDTF">2024-07-26T04:53:22Z</dcterms:modified>
</cp:coreProperties>
</file>