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en\basic\"/>
    </mc:Choice>
  </mc:AlternateContent>
  <xr:revisionPtr revIDLastSave="0" documentId="13_ncr:1_{DD1A70C1-D128-47E2-B92F-D6947F9AAA00}" xr6:coauthVersionLast="47" xr6:coauthVersionMax="47" xr10:uidLastSave="{00000000-0000-0000-0000-000000000000}"/>
  <bookViews>
    <workbookView xWindow="0" yWindow="0" windowWidth="19200" windowHeight="11280" tabRatio="788" xr2:uid="{00000000-000D-0000-FFFF-FFFF00000000}"/>
  </bookViews>
  <sheets>
    <sheet name="LEQ(GE)" sheetId="1" r:id="rId1"/>
    <sheet name="LEQ(PO)" sheetId="3" r:id="rId2"/>
    <sheet name="EIG(SY)" sheetId="4" r:id="rId3"/>
    <sheet name="LSQ(1)" sheetId="5" r:id="rId4"/>
    <sheet name="LSQ(2)" sheetId="6" r:id="rId5"/>
    <sheet name="INT(1)" sheetId="12" r:id="rId6"/>
    <sheet name="INT(2)" sheetId="13" r:id="rId7"/>
    <sheet name="INT(3)" sheetId="14" r:id="rId8"/>
    <sheet name="NLEQ(1)" sheetId="7" r:id="rId9"/>
    <sheet name="NLEQ(2)" sheetId="8" r:id="rId10"/>
    <sheet name="OPT(1)" sheetId="10" r:id="rId11"/>
    <sheet name="OPT(2)" sheetId="11" r:id="rId12"/>
    <sheet name="QAD(1)" sheetId="15" r:id="rId13"/>
    <sheet name="QAD(2)" sheetId="16" r:id="rId14"/>
    <sheet name="QAD(3)" sheetId="17" r:id="rId15"/>
    <sheet name="ODE" sheetId="18" r:id="rId16"/>
    <sheet name="ODE (2)" sheetId="20" r:id="rId17"/>
    <sheet name="FFT" sheetId="19" r:id="rId18"/>
    <sheet name="NLSQ" sheetId="9" r:id="rId19"/>
  </sheets>
  <functionGroups builtInGroupCount="19"/>
  <definedNames>
    <definedName name="data2" localSheetId="3">'LSQ(1)'!#REF!</definedName>
    <definedName name="data2" localSheetId="4">'LSQ(2)'!#REF!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20" l="1"/>
  <c r="B13" i="20"/>
  <c r="I7" i="20"/>
  <c r="E58" i="20"/>
  <c r="E58" i="18" l="1"/>
  <c r="B70" i="19" l="1"/>
  <c r="C70" i="19" s="1"/>
  <c r="B69" i="19"/>
  <c r="C69" i="19" s="1"/>
  <c r="B68" i="19"/>
  <c r="C68" i="19" s="1"/>
  <c r="B67" i="19"/>
  <c r="C67" i="19" s="1"/>
  <c r="B66" i="19"/>
  <c r="C66" i="19" s="1"/>
  <c r="B65" i="19"/>
  <c r="C65" i="19" s="1"/>
  <c r="B64" i="19"/>
  <c r="C64" i="19" s="1"/>
  <c r="B63" i="19"/>
  <c r="C63" i="19" s="1"/>
  <c r="B62" i="19"/>
  <c r="C62" i="19" s="1"/>
  <c r="B61" i="19"/>
  <c r="C61" i="19" s="1"/>
  <c r="B60" i="19"/>
  <c r="C60" i="19" s="1"/>
  <c r="B59" i="19"/>
  <c r="C59" i="19" s="1"/>
  <c r="B58" i="19"/>
  <c r="C58" i="19" s="1"/>
  <c r="B57" i="19"/>
  <c r="C57" i="19" s="1"/>
  <c r="B56" i="19"/>
  <c r="C56" i="19" s="1"/>
  <c r="B55" i="19"/>
  <c r="C55" i="19" s="1"/>
  <c r="B54" i="19"/>
  <c r="C54" i="19" s="1"/>
  <c r="B53" i="19"/>
  <c r="C53" i="19" s="1"/>
  <c r="B52" i="19"/>
  <c r="C52" i="19" s="1"/>
  <c r="B51" i="19"/>
  <c r="C51" i="19" s="1"/>
  <c r="B50" i="19"/>
  <c r="C50" i="19" s="1"/>
  <c r="B49" i="19"/>
  <c r="C49" i="19" s="1"/>
  <c r="B48" i="19"/>
  <c r="C48" i="19" s="1"/>
  <c r="B47" i="19"/>
  <c r="C47" i="19" s="1"/>
  <c r="B46" i="19"/>
  <c r="C46" i="19" s="1"/>
  <c r="B45" i="19"/>
  <c r="C45" i="19" s="1"/>
  <c r="B44" i="19"/>
  <c r="C44" i="19" s="1"/>
  <c r="B43" i="19"/>
  <c r="C43" i="19" s="1"/>
  <c r="B42" i="19"/>
  <c r="C42" i="19" s="1"/>
  <c r="E41" i="19"/>
  <c r="B41" i="19"/>
  <c r="C41" i="19" s="1"/>
  <c r="E40" i="19"/>
  <c r="B40" i="19"/>
  <c r="C40" i="19" s="1"/>
  <c r="E39" i="19"/>
  <c r="B39" i="19"/>
  <c r="C39" i="19" s="1"/>
  <c r="E38" i="19"/>
  <c r="B38" i="19"/>
  <c r="C38" i="19" s="1"/>
  <c r="E37" i="19"/>
  <c r="B37" i="19"/>
  <c r="C37" i="19" s="1"/>
  <c r="E36" i="19"/>
  <c r="B36" i="19"/>
  <c r="C36" i="19" s="1"/>
  <c r="E35" i="19"/>
  <c r="B35" i="19"/>
  <c r="C35" i="19" s="1"/>
  <c r="E34" i="19"/>
  <c r="B34" i="19"/>
  <c r="C34" i="19" s="1"/>
  <c r="E33" i="19"/>
  <c r="B33" i="19"/>
  <c r="C33" i="19" s="1"/>
  <c r="E32" i="19"/>
  <c r="B32" i="19"/>
  <c r="C32" i="19" s="1"/>
  <c r="E31" i="19"/>
  <c r="B31" i="19"/>
  <c r="C31" i="19" s="1"/>
  <c r="E30" i="19"/>
  <c r="B30" i="19"/>
  <c r="C30" i="19" s="1"/>
  <c r="E29" i="19"/>
  <c r="B29" i="19"/>
  <c r="C29" i="19" s="1"/>
  <c r="E28" i="19"/>
  <c r="B28" i="19"/>
  <c r="C28" i="19" s="1"/>
  <c r="E27" i="19"/>
  <c r="B27" i="19"/>
  <c r="C27" i="19" s="1"/>
  <c r="E26" i="19"/>
  <c r="B26" i="19"/>
  <c r="C26" i="19" s="1"/>
  <c r="E25" i="19"/>
  <c r="B25" i="19"/>
  <c r="C25" i="19" s="1"/>
  <c r="E24" i="19"/>
  <c r="B24" i="19"/>
  <c r="C24" i="19" s="1"/>
  <c r="E23" i="19"/>
  <c r="B23" i="19"/>
  <c r="C23" i="19" s="1"/>
  <c r="E22" i="19"/>
  <c r="B22" i="19"/>
  <c r="C22" i="19" s="1"/>
  <c r="E21" i="19"/>
  <c r="B21" i="19"/>
  <c r="C21" i="19" s="1"/>
  <c r="E20" i="19"/>
  <c r="B20" i="19"/>
  <c r="C20" i="19" s="1"/>
  <c r="E19" i="19"/>
  <c r="B19" i="19"/>
  <c r="C19" i="19" s="1"/>
  <c r="E18" i="19"/>
  <c r="B18" i="19"/>
  <c r="C18" i="19" s="1"/>
  <c r="E17" i="19"/>
  <c r="B17" i="19"/>
  <c r="C17" i="19" s="1"/>
  <c r="E16" i="19"/>
  <c r="B16" i="19"/>
  <c r="C16" i="19" s="1"/>
  <c r="E15" i="19"/>
  <c r="B15" i="19"/>
  <c r="C15" i="19" s="1"/>
  <c r="E14" i="19"/>
  <c r="B14" i="19"/>
  <c r="C14" i="19" s="1"/>
  <c r="E13" i="19"/>
  <c r="B13" i="19"/>
  <c r="C13" i="19" s="1"/>
  <c r="E12" i="19"/>
  <c r="B12" i="19"/>
  <c r="C12" i="19" s="1"/>
  <c r="E11" i="19"/>
  <c r="B11" i="19"/>
  <c r="C11" i="19" s="1"/>
  <c r="B14" i="18" l="1"/>
  <c r="B13" i="18"/>
  <c r="B7" i="17" l="1"/>
  <c r="B7" i="16"/>
  <c r="B7" i="15"/>
  <c r="C18" i="14" l="1"/>
  <c r="C17" i="14"/>
  <c r="C16" i="14"/>
  <c r="C15" i="14"/>
  <c r="C14" i="14"/>
  <c r="C13" i="14"/>
  <c r="C12" i="14"/>
  <c r="C11" i="14"/>
  <c r="C10" i="14"/>
  <c r="C20" i="12"/>
  <c r="C19" i="12"/>
  <c r="C18" i="12"/>
  <c r="C17" i="12"/>
  <c r="C16" i="12"/>
  <c r="C15" i="12"/>
  <c r="C14" i="12"/>
  <c r="C13" i="12"/>
  <c r="C12" i="12"/>
  <c r="C11" i="12"/>
  <c r="C10" i="12"/>
  <c r="B14" i="11" l="1"/>
  <c r="B10" i="10"/>
  <c r="B18" i="9" l="1"/>
  <c r="C14" i="8" l="1"/>
  <c r="B14" i="8"/>
  <c r="B10" i="7"/>
</calcChain>
</file>

<file path=xl/sharedStrings.xml><?xml version="1.0" encoding="utf-8"?>
<sst xmlns="http://schemas.openxmlformats.org/spreadsheetml/2006/main" count="379" uniqueCount="243">
  <si>
    <t xml:space="preserve">n = </t>
  </si>
  <si>
    <t>y = a0 + a1*x + a2*x^2 + ・・・ + an*x^n</t>
    <phoneticPr fontId="1"/>
  </si>
  <si>
    <t xml:space="preserve">Err = </t>
    <phoneticPr fontId="1"/>
  </si>
  <si>
    <t>A</t>
    <phoneticPr fontId="1"/>
  </si>
  <si>
    <t>B</t>
    <phoneticPr fontId="1"/>
  </si>
  <si>
    <t xml:space="preserve">x = </t>
    <phoneticPr fontId="1"/>
  </si>
  <si>
    <t xml:space="preserve">f(x) = </t>
    <phoneticPr fontId="1"/>
  </si>
  <si>
    <t>Fun</t>
    <phoneticPr fontId="1"/>
  </si>
  <si>
    <t>Jac</t>
    <phoneticPr fontId="1"/>
  </si>
  <si>
    <t>x1</t>
    <phoneticPr fontId="1"/>
  </si>
  <si>
    <t>x2</t>
    <phoneticPr fontId="1"/>
  </si>
  <si>
    <t>x3</t>
    <phoneticPr fontId="1"/>
  </si>
  <si>
    <t>x4</t>
    <phoneticPr fontId="1"/>
  </si>
  <si>
    <t xml:space="preserve">N = </t>
    <phoneticPr fontId="1"/>
  </si>
  <si>
    <t xml:space="preserve">xi = </t>
    <phoneticPr fontId="1"/>
  </si>
  <si>
    <t xml:space="preserve">fi(x) = </t>
    <phoneticPr fontId="1"/>
  </si>
  <si>
    <t xml:space="preserve">  f1(x) = 4*x1^2+x2^2-16</t>
    <phoneticPr fontId="1"/>
  </si>
  <si>
    <t xml:space="preserve">  f2(x) = x1^2+x2^2-9</t>
    <phoneticPr fontId="1"/>
  </si>
  <si>
    <t xml:space="preserve">Prog = </t>
    <phoneticPr fontId="1"/>
  </si>
  <si>
    <t>X</t>
    <phoneticPr fontId="1"/>
  </si>
  <si>
    <t>Y</t>
    <phoneticPr fontId="1"/>
  </si>
  <si>
    <t>Fun</t>
    <phoneticPr fontId="1"/>
  </si>
  <si>
    <t>Jac</t>
    <phoneticPr fontId="1"/>
  </si>
  <si>
    <t>p1</t>
    <phoneticPr fontId="1"/>
  </si>
  <si>
    <t>p2</t>
    <phoneticPr fontId="1"/>
  </si>
  <si>
    <t>p3</t>
    <phoneticPr fontId="1"/>
  </si>
  <si>
    <t>p4</t>
    <phoneticPr fontId="1"/>
  </si>
  <si>
    <t xml:space="preserve">x = </t>
    <phoneticPr fontId="1"/>
  </si>
  <si>
    <t xml:space="preserve">p1 = </t>
    <phoneticPr fontId="1"/>
  </si>
  <si>
    <t xml:space="preserve">p2 = </t>
    <phoneticPr fontId="1"/>
  </si>
  <si>
    <t xml:space="preserve">p3 = </t>
    <phoneticPr fontId="1"/>
  </si>
  <si>
    <t xml:space="preserve">p4 = </t>
    <phoneticPr fontId="1"/>
  </si>
  <si>
    <t xml:space="preserve">f(x, p1, p2, ...) = </t>
    <phoneticPr fontId="1"/>
  </si>
  <si>
    <t xml:space="preserve">  f(x) = p1*(1 - exp(-p2*x))</t>
    <phoneticPr fontId="1"/>
  </si>
  <si>
    <t xml:space="preserve">Prog = </t>
    <phoneticPr fontId="1"/>
  </si>
  <si>
    <t>A</t>
    <phoneticPr fontId="1"/>
  </si>
  <si>
    <t>B</t>
    <phoneticPr fontId="1"/>
  </si>
  <si>
    <t xml:space="preserve">x = </t>
    <phoneticPr fontId="1"/>
  </si>
  <si>
    <t>Fun</t>
    <phoneticPr fontId="1"/>
  </si>
  <si>
    <t>dFun</t>
    <phoneticPr fontId="1"/>
  </si>
  <si>
    <t>Hes</t>
    <phoneticPr fontId="1"/>
  </si>
  <si>
    <t>f(x)</t>
    <phoneticPr fontId="1"/>
  </si>
  <si>
    <t>x1</t>
    <phoneticPr fontId="1"/>
  </si>
  <si>
    <t>x3</t>
    <phoneticPr fontId="1"/>
  </si>
  <si>
    <t xml:space="preserve">  f(x) = 100*(x2-x1^2)^2+(1-x1)^2</t>
    <phoneticPr fontId="1"/>
  </si>
  <si>
    <t xml:space="preserve">  (Rosenbrock function)</t>
    <phoneticPr fontId="1"/>
  </si>
  <si>
    <t>X(I)</t>
    <phoneticPr fontId="1"/>
  </si>
  <si>
    <t>Y(I)</t>
    <phoneticPr fontId="1"/>
  </si>
  <si>
    <t xml:space="preserve">NX = </t>
    <phoneticPr fontId="1"/>
  </si>
  <si>
    <t xml:space="preserve">Prog = </t>
    <phoneticPr fontId="1"/>
  </si>
  <si>
    <t xml:space="preserve">NY = </t>
    <phoneticPr fontId="1"/>
  </si>
  <si>
    <t>X</t>
    <phoneticPr fontId="1"/>
  </si>
  <si>
    <t>Y</t>
    <phoneticPr fontId="1"/>
  </si>
  <si>
    <t xml:space="preserve">N = </t>
    <phoneticPr fontId="1"/>
  </si>
  <si>
    <t>A</t>
    <phoneticPr fontId="1"/>
  </si>
  <si>
    <t>B</t>
    <phoneticPr fontId="1"/>
  </si>
  <si>
    <t>B</t>
    <phoneticPr fontId="1"/>
  </si>
  <si>
    <t>+inf</t>
  </si>
  <si>
    <t xml:space="preserve">Prog = </t>
    <phoneticPr fontId="1"/>
  </si>
  <si>
    <t>A</t>
    <phoneticPr fontId="1"/>
  </si>
  <si>
    <t>-inf</t>
    <phoneticPr fontId="1"/>
  </si>
  <si>
    <t xml:space="preserve">Prog = </t>
    <phoneticPr fontId="1"/>
  </si>
  <si>
    <t xml:space="preserve">n = </t>
    <phoneticPr fontId="1"/>
  </si>
  <si>
    <t>t</t>
    <phoneticPr fontId="1"/>
  </si>
  <si>
    <t>y1</t>
    <phoneticPr fontId="1"/>
  </si>
  <si>
    <t>y2</t>
    <phoneticPr fontId="1"/>
  </si>
  <si>
    <t>y3</t>
    <phoneticPr fontId="1"/>
  </si>
  <si>
    <t>y4</t>
    <phoneticPr fontId="1"/>
  </si>
  <si>
    <t xml:space="preserve">RelErr = </t>
    <phoneticPr fontId="1"/>
  </si>
  <si>
    <t xml:space="preserve">t = </t>
    <phoneticPr fontId="1"/>
  </si>
  <si>
    <t xml:space="preserve">y1 = </t>
    <phoneticPr fontId="1"/>
  </si>
  <si>
    <t xml:space="preserve">y2 = </t>
    <phoneticPr fontId="1"/>
  </si>
  <si>
    <t xml:space="preserve">y3 = </t>
    <phoneticPr fontId="1"/>
  </si>
  <si>
    <t xml:space="preserve">y4 = </t>
    <phoneticPr fontId="1"/>
  </si>
  <si>
    <t xml:space="preserve">dy1/dt = </t>
    <phoneticPr fontId="1"/>
  </si>
  <si>
    <t xml:space="preserve">dy2/dt = </t>
    <phoneticPr fontId="1"/>
  </si>
  <si>
    <t xml:space="preserve">dy3/dt = </t>
    <phoneticPr fontId="1"/>
  </si>
  <si>
    <t xml:space="preserve">dy4/dt = </t>
    <phoneticPr fontId="1"/>
  </si>
  <si>
    <t>No.</t>
    <phoneticPr fontId="1"/>
  </si>
  <si>
    <t>x</t>
    <phoneticPr fontId="1"/>
  </si>
  <si>
    <t>f(x)</t>
    <phoneticPr fontId="1"/>
  </si>
  <si>
    <t xml:space="preserve">  http://www.itl.nist.gov/div898/strd/nls/data/misra1a.shtml</t>
    <phoneticPr fontId="1"/>
  </si>
  <si>
    <t>Eigenvalues and eigenvectors</t>
  </si>
  <si>
    <t>Symmetric matrices (Dsyev)</t>
    <phoneticPr fontId="1"/>
  </si>
  <si>
    <t>Eigenvalues</t>
  </si>
  <si>
    <t>Eigenvectors</t>
  </si>
  <si>
    <t>Lambda</t>
  </si>
  <si>
    <t>Power spectrum analysis by FFT</t>
    <phoneticPr fontId="1"/>
  </si>
  <si>
    <t>Power spectrum analysis by FFT</t>
  </si>
  <si>
    <t xml:space="preserve">Number of data N = </t>
  </si>
  <si>
    <t xml:space="preserve">Sampling interval (sec) = </t>
  </si>
  <si>
    <t>Example: 400Hz sine wave + 1400Hz sine wave</t>
  </si>
  <si>
    <t>Power spectrum</t>
  </si>
  <si>
    <t>Frequency (Hz)</t>
  </si>
  <si>
    <t>Data</t>
    <phoneticPr fontId="1"/>
  </si>
  <si>
    <t>Interpolation</t>
    <phoneticPr fontId="1"/>
  </si>
  <si>
    <t>Example: 1/(1 + 25*x^2)</t>
    <phoneticPr fontId="1"/>
  </si>
  <si>
    <t>Data</t>
    <phoneticPr fontId="1"/>
  </si>
  <si>
    <t>Interpolation</t>
  </si>
  <si>
    <t>Abscissa</t>
  </si>
  <si>
    <t>Interpolated value</t>
  </si>
  <si>
    <t>Interpolation (2D)</t>
    <phoneticPr fontId="1"/>
  </si>
  <si>
    <t>Program</t>
    <phoneticPr fontId="1"/>
  </si>
  <si>
    <t>Example:</t>
    <phoneticPr fontId="1"/>
  </si>
  <si>
    <t>Incomplete elliptic integral of first kind F(sin(y), sin(x))</t>
    <phoneticPr fontId="1"/>
  </si>
  <si>
    <t>Data</t>
    <phoneticPr fontId="1"/>
  </si>
  <si>
    <t>Value F(X, Y)</t>
    <phoneticPr fontId="1"/>
  </si>
  <si>
    <t>Quadrature by interpolation</t>
    <phoneticPr fontId="1"/>
  </si>
  <si>
    <t>Example: 1/(1 + x^2)</t>
    <phoneticPr fontId="1"/>
  </si>
  <si>
    <t>Quadrature</t>
    <phoneticPr fontId="1"/>
  </si>
  <si>
    <t>X(I)</t>
    <phoneticPr fontId="1"/>
  </si>
  <si>
    <t>Lower limit</t>
    <phoneticPr fontId="1"/>
  </si>
  <si>
    <t>Upper limit</t>
    <phoneticPr fontId="1"/>
  </si>
  <si>
    <t>Value of integral</t>
    <phoneticPr fontId="1"/>
  </si>
  <si>
    <t>System of linear equations</t>
    <phoneticPr fontId="1"/>
  </si>
  <si>
    <t xml:space="preserve">Return code = </t>
    <phoneticPr fontId="1"/>
  </si>
  <si>
    <t xml:space="preserve">Return code = </t>
    <phoneticPr fontId="1"/>
  </si>
  <si>
    <t>Solution</t>
  </si>
  <si>
    <t>Right hand</t>
  </si>
  <si>
    <t>Coefficient matrix A</t>
  </si>
  <si>
    <t>vector x</t>
  </si>
  <si>
    <t>vector b</t>
  </si>
  <si>
    <t>General matrices (Dgesv)</t>
    <phoneticPr fontId="1"/>
  </si>
  <si>
    <t>Linear least squares problems</t>
    <phoneticPr fontId="1"/>
  </si>
  <si>
    <t>Example: NIST http://www.itl.nist.gov/div898/strd/lls/data/Longley.shtml</t>
    <phoneticPr fontId="1"/>
  </si>
  <si>
    <t>Estimated
parameters</t>
  </si>
  <si>
    <t>Std. dev.</t>
  </si>
  <si>
    <t>Variance-covariance matrix for estimated parameters</t>
    <phoneticPr fontId="1"/>
  </si>
  <si>
    <t>Y
(Obs.)</t>
  </si>
  <si>
    <t>W
(Weight)</t>
  </si>
  <si>
    <t>Y
(Calc.)</t>
  </si>
  <si>
    <t>Residuals</t>
  </si>
  <si>
    <t>A (Coefficient matrix)</t>
    <phoneticPr fontId="1"/>
  </si>
  <si>
    <t>Value</t>
  </si>
  <si>
    <t>Dimensions</t>
  </si>
  <si>
    <t>M</t>
  </si>
  <si>
    <t>Number of observations</t>
  </si>
  <si>
    <t>N</t>
  </si>
  <si>
    <t>Number of parameters</t>
  </si>
  <si>
    <t>Parameters</t>
  </si>
  <si>
    <t>Minimum inverse condition number</t>
  </si>
  <si>
    <t>Weight is absolute(0) or relative(1) accuracy</t>
  </si>
  <si>
    <t>Program to be used</t>
    <phoneticPr fontId="1"/>
  </si>
  <si>
    <t>Statistics</t>
  </si>
  <si>
    <t>Return code</t>
  </si>
  <si>
    <t>Effective rank</t>
  </si>
  <si>
    <t>Inverse condition number</t>
  </si>
  <si>
    <t>Error bound</t>
  </si>
  <si>
    <t>Weighted residual sum of squares</t>
  </si>
  <si>
    <t>Residual mean squares</t>
  </si>
  <si>
    <t>Residual standard deviation</t>
  </si>
  <si>
    <t>Degrees of freedom</t>
  </si>
  <si>
    <t>Regression sum of squares</t>
  </si>
  <si>
    <t>Regression mean squares</t>
  </si>
  <si>
    <t>F statistics</t>
  </si>
  <si>
    <t>R-squared</t>
  </si>
  <si>
    <t>Linear least squares problems (for polynomials)</t>
    <phoneticPr fontId="1"/>
  </si>
  <si>
    <t>Example: NIST http://www.itl.nist.gov/div898/strd/lls/data/Norris.shtml</t>
    <phoneticPr fontId="1"/>
  </si>
  <si>
    <t>Estimated
a</t>
  </si>
  <si>
    <t>Variance-covariance matrix for estimated parameters</t>
    <phoneticPr fontId="1"/>
  </si>
  <si>
    <t>X</t>
  </si>
  <si>
    <t xml:space="preserve">  (no rank deficiency) is assumed.</t>
    <phoneticPr fontId="1"/>
  </si>
  <si>
    <t>Program to be used (Note)</t>
    <phoneticPr fontId="1"/>
  </si>
  <si>
    <t>Nonlinear equation (single equation)</t>
    <phoneticPr fontId="1"/>
  </si>
  <si>
    <t>Example. f(x) = x^3 - 2*x - 5</t>
    <phoneticPr fontId="1"/>
  </si>
  <si>
    <t xml:space="preserve">Err = </t>
  </si>
  <si>
    <t>Definition of object function</t>
  </si>
  <si>
    <t># of f(x) eval.</t>
  </si>
  <si>
    <t>Zero point X</t>
  </si>
  <si>
    <t>System of nonlinear equations</t>
    <phoneticPr fontId="1"/>
  </si>
  <si>
    <t>Parameters and result of calculation</t>
  </si>
  <si>
    <t xml:space="preserve">Intermediate = </t>
  </si>
  <si>
    <t xml:space="preserve">Return code = </t>
  </si>
  <si>
    <t xml:space="preserve">N = </t>
    <phoneticPr fontId="1"/>
  </si>
  <si>
    <t xml:space="preserve">i or j = </t>
    <phoneticPr fontId="1"/>
  </si>
  <si>
    <t>Program to be used</t>
    <phoneticPr fontId="1"/>
  </si>
  <si>
    <t>Example:</t>
    <phoneticPr fontId="1"/>
  </si>
  <si>
    <t>Initial estimates -&gt;</t>
    <phoneticPr fontId="1"/>
  </si>
  <si>
    <t>Nonlinear least squares problems</t>
    <phoneticPr fontId="1"/>
  </si>
  <si>
    <t>Residuals</t>
    <phoneticPr fontId="1"/>
  </si>
  <si>
    <t>Initial estimates -&gt;</t>
    <phoneticPr fontId="1"/>
  </si>
  <si>
    <t xml:space="preserve"># of data M = </t>
    <phoneticPr fontId="1"/>
  </si>
  <si>
    <t xml:space="preserve"># of params N = </t>
    <phoneticPr fontId="1"/>
  </si>
  <si>
    <t>Definition of model function</t>
  </si>
  <si>
    <t>Unconstrained optimization of a general univariate function</t>
    <phoneticPr fontId="1"/>
  </si>
  <si>
    <t>Example: f(x) = x^3 - 2*x - 5</t>
    <phoneticPr fontId="1"/>
  </si>
  <si>
    <t>Minimum point X</t>
  </si>
  <si>
    <t>Unconstrained optimization of a general multivariate function</t>
  </si>
  <si>
    <t xml:space="preserve">Err = </t>
    <phoneticPr fontId="1"/>
  </si>
  <si>
    <t>Program to be used</t>
    <phoneticPr fontId="1"/>
  </si>
  <si>
    <t>Optif0</t>
  </si>
  <si>
    <t>Initial value problem of ordinary differential equations (ODE)</t>
    <phoneticPr fontId="1"/>
  </si>
  <si>
    <t># of f(x) eval.</t>
    <phoneticPr fontId="1"/>
  </si>
  <si>
    <t>Definition of ODE</t>
  </si>
  <si>
    <t>Init. values -&gt;</t>
    <phoneticPr fontId="1"/>
  </si>
  <si>
    <t>Quadrature (finite interval)</t>
    <phoneticPr fontId="1"/>
  </si>
  <si>
    <t>Example:. f(x) = 1/(1 + x^2)</t>
    <phoneticPr fontId="1"/>
  </si>
  <si>
    <t>Definition of Integrand</t>
  </si>
  <si>
    <t>Integral [A, B]</t>
  </si>
  <si>
    <t>Estimated error</t>
  </si>
  <si>
    <t>Quadrature (semi-infinite interval)</t>
    <phoneticPr fontId="1"/>
  </si>
  <si>
    <t>Example: f(x) = 1/(1 + x^2)</t>
    <phoneticPr fontId="1"/>
  </si>
  <si>
    <t>Integral [A, +inf]</t>
  </si>
  <si>
    <t xml:space="preserve">x = </t>
    <phoneticPr fontId="1"/>
  </si>
  <si>
    <t xml:space="preserve">f(x) = </t>
    <phoneticPr fontId="1"/>
  </si>
  <si>
    <t xml:space="preserve">Err = </t>
    <phoneticPr fontId="1"/>
  </si>
  <si>
    <t>Program to be used</t>
    <phoneticPr fontId="1"/>
  </si>
  <si>
    <t>Quadrature (infinite interval)</t>
    <phoneticPr fontId="1"/>
  </si>
  <si>
    <t>Integral [-inf, +inf]</t>
    <phoneticPr fontId="1"/>
  </si>
  <si>
    <t xml:space="preserve">Err = </t>
    <phoneticPr fontId="1"/>
  </si>
  <si>
    <t>Symmetric positive definite matrices (Dposv)</t>
    <phoneticPr fontId="1"/>
  </si>
  <si>
    <t xml:space="preserve">Info = </t>
    <phoneticPr fontId="1"/>
  </si>
  <si>
    <t>(Note 2)</t>
  </si>
  <si>
    <t>(Note) When "Program to be used" = 0 (Dgels), full rank</t>
  </si>
  <si>
    <t>(Note) When "Program to be used" = 0 (Dgels), full rank</t>
    <phoneticPr fontId="1"/>
  </si>
  <si>
    <t>(Note2) Not computed by XLPack Lite.</t>
  </si>
  <si>
    <t>(Note2) Not computed by XLPack Lite.</t>
    <phoneticPr fontId="1"/>
  </si>
  <si>
    <t xml:space="preserve">  (no rank deficiency) is assumed.</t>
  </si>
  <si>
    <t>Qagi</t>
  </si>
  <si>
    <t xml:space="preserve">Revcom = </t>
    <phoneticPr fontId="1"/>
  </si>
  <si>
    <t>Lmdif1</t>
  </si>
  <si>
    <t xml:space="preserve">RCond = </t>
    <phoneticPr fontId="1"/>
  </si>
  <si>
    <t>Coefficient matrix A (Only lower triangular elements will be used)</t>
    <phoneticPr fontId="1"/>
  </si>
  <si>
    <t>Symmetric matrix A (Only lower triangular elements will be used)</t>
    <phoneticPr fontId="1"/>
  </si>
  <si>
    <t>Dfmin</t>
    <phoneticPr fontId="1"/>
  </si>
  <si>
    <t>Spline (not a knot)</t>
  </si>
  <si>
    <t>Dfzero</t>
  </si>
  <si>
    <t>Hybrd1</t>
    <phoneticPr fontId="1"/>
  </si>
  <si>
    <t>Qag</t>
    <phoneticPr fontId="1"/>
  </si>
  <si>
    <t>Qagi</t>
    <phoneticPr fontId="1"/>
  </si>
  <si>
    <t xml:space="preserve">Dense = </t>
    <phoneticPr fontId="1"/>
  </si>
  <si>
    <t>Derkfa</t>
    <phoneticPr fontId="1"/>
  </si>
  <si>
    <t>Initial value problem of second order ordinary differential equations (ODE)</t>
    <phoneticPr fontId="1"/>
  </si>
  <si>
    <t>y1'</t>
    <phoneticPr fontId="1"/>
  </si>
  <si>
    <t>y2'</t>
    <phoneticPr fontId="1"/>
  </si>
  <si>
    <t xml:space="preserve">Tol = </t>
    <phoneticPr fontId="1"/>
  </si>
  <si>
    <t xml:space="preserve">d2y1/dt2 = </t>
    <phoneticPr fontId="1"/>
  </si>
  <si>
    <t xml:space="preserve">d2y2/dt2 = </t>
    <phoneticPr fontId="1"/>
  </si>
  <si>
    <t>Dopn43</t>
    <phoneticPr fontId="1"/>
  </si>
  <si>
    <t>d2y1/dt2 = -y1/r, d2y2/dt2 = -y2/r, r = (y1^2 + y2^2)^(3/2)</t>
    <phoneticPr fontId="1"/>
  </si>
  <si>
    <t>y1 = 1, y2 = 0, dy1/dt = 0, dy2/dt = sqrt(3) at t = 0</t>
    <phoneticPr fontId="1"/>
  </si>
  <si>
    <t>dy1/dt=-y2, dy2/dt=y1</t>
    <phoneticPr fontId="1"/>
  </si>
  <si>
    <t>y1 = 1, y2 = 0 at t = 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</si>
</sst>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3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3" borderId="1" xfId="0" applyFill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24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35" xfId="0" applyFill="1" applyBorder="1">
      <alignment vertical="center"/>
    </xf>
    <xf numFmtId="0" fontId="0" fillId="2" borderId="36" xfId="0" applyFill="1" applyBorder="1">
      <alignment vertical="center"/>
    </xf>
    <xf numFmtId="0" fontId="0" fillId="0" borderId="37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0" borderId="33" xfId="0" applyBorder="1">
      <alignment vertical="center"/>
    </xf>
    <xf numFmtId="0" fontId="0" fillId="0" borderId="38" xfId="0" applyBorder="1">
      <alignment vertical="center"/>
    </xf>
    <xf numFmtId="0" fontId="0" fillId="0" borderId="34" xfId="0" applyBorder="1">
      <alignment vertical="center"/>
    </xf>
    <xf numFmtId="0" fontId="0" fillId="2" borderId="33" xfId="0" applyFill="1" applyBorder="1">
      <alignment vertical="center"/>
    </xf>
    <xf numFmtId="0" fontId="0" fillId="2" borderId="38" xfId="0" applyFill="1" applyBorder="1">
      <alignment vertical="center"/>
    </xf>
    <xf numFmtId="0" fontId="0" fillId="2" borderId="34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9" xfId="0" applyBorder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>
      <alignment vertical="center"/>
    </xf>
    <xf numFmtId="0" fontId="3" fillId="0" borderId="0" xfId="0" applyFont="1" applyAlignment="1">
      <alignment horizontal="left" vertical="center"/>
    </xf>
    <xf numFmtId="0" fontId="0" fillId="0" borderId="2" xfId="0" quotePrefix="1" applyBorder="1" applyAlignment="1">
      <alignment horizontal="right" vertical="center"/>
    </xf>
    <xf numFmtId="0" fontId="0" fillId="0" borderId="1" xfId="0" quotePrefix="1" applyBorder="1" applyAlignment="1">
      <alignment horizontal="right" vertical="center"/>
    </xf>
    <xf numFmtId="0" fontId="0" fillId="2" borderId="37" xfId="0" applyFill="1" applyBorder="1">
      <alignment vertical="center"/>
    </xf>
    <xf numFmtId="0" fontId="0" fillId="2" borderId="46" xfId="0" applyFill="1" applyBorder="1">
      <alignment vertical="center"/>
    </xf>
    <xf numFmtId="0" fontId="0" fillId="2" borderId="47" xfId="0" applyFill="1" applyBorder="1">
      <alignment vertical="center"/>
    </xf>
    <xf numFmtId="0" fontId="0" fillId="2" borderId="48" xfId="0" applyFill="1" applyBorder="1">
      <alignment vertical="center"/>
    </xf>
    <xf numFmtId="0" fontId="0" fillId="2" borderId="49" xfId="0" applyFill="1" applyBorder="1">
      <alignment vertical="center"/>
    </xf>
    <xf numFmtId="0" fontId="0" fillId="3" borderId="24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33" xfId="0" applyFill="1" applyBorder="1" applyAlignment="1">
      <alignment horizontal="left" vertical="center"/>
    </xf>
    <xf numFmtId="0" fontId="0" fillId="3" borderId="34" xfId="0" applyFill="1" applyBorder="1" applyAlignment="1">
      <alignment horizontal="left" vertical="center"/>
    </xf>
    <xf numFmtId="11" fontId="0" fillId="0" borderId="1" xfId="0" applyNumberFormat="1" applyBorder="1">
      <alignment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FFT!$E$11:$E$41</c:f>
              <c:numCache>
                <c:formatCode>General</c:formatCode>
                <c:ptCount val="3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1499.9999999999998</c:v>
                </c:pt>
                <c:pt idx="16">
                  <c:v>1600</c:v>
                </c:pt>
                <c:pt idx="17">
                  <c:v>1700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2899.9999999999995</c:v>
                </c:pt>
                <c:pt idx="30">
                  <c:v>2999.9999999999995</c:v>
                </c:pt>
              </c:numCache>
            </c:numRef>
          </c:cat>
          <c:val>
            <c:numRef>
              <c:f>FFT!$F$11:$F$41</c:f>
              <c:numCache>
                <c:formatCode>General</c:formatCode>
                <c:ptCount val="31"/>
                <c:pt idx="0">
                  <c:v>1.1289585629844206E-29</c:v>
                </c:pt>
                <c:pt idx="1">
                  <c:v>2.4069777735624033E-29</c:v>
                </c:pt>
                <c:pt idx="2">
                  <c:v>1.395851207787044E-29</c:v>
                </c:pt>
                <c:pt idx="3">
                  <c:v>2.9578888739949872E-29</c:v>
                </c:pt>
                <c:pt idx="4">
                  <c:v>24.999999999999989</c:v>
                </c:pt>
                <c:pt idx="5">
                  <c:v>4.8340212124932313E-30</c:v>
                </c:pt>
                <c:pt idx="6">
                  <c:v>2.1798154547095577E-30</c:v>
                </c:pt>
                <c:pt idx="7">
                  <c:v>1.0610189348318851E-30</c:v>
                </c:pt>
                <c:pt idx="8">
                  <c:v>1.1149575245563932E-30</c:v>
                </c:pt>
                <c:pt idx="9">
                  <c:v>7.4014448422408469E-30</c:v>
                </c:pt>
                <c:pt idx="10">
                  <c:v>5.348190650119678E-30</c:v>
                </c:pt>
                <c:pt idx="11">
                  <c:v>1.8481696824316011E-29</c:v>
                </c:pt>
                <c:pt idx="12">
                  <c:v>1.0142264955918565E-29</c:v>
                </c:pt>
                <c:pt idx="13">
                  <c:v>1.3140424707672369E-29</c:v>
                </c:pt>
                <c:pt idx="14">
                  <c:v>25.000000000000011</c:v>
                </c:pt>
                <c:pt idx="15">
                  <c:v>8.6022521556836535E-30</c:v>
                </c:pt>
                <c:pt idx="16">
                  <c:v>1.0806117734078303E-29</c:v>
                </c:pt>
                <c:pt idx="17">
                  <c:v>1.187195000364168E-29</c:v>
                </c:pt>
                <c:pt idx="18">
                  <c:v>2.3092003650320898E-30</c:v>
                </c:pt>
                <c:pt idx="19">
                  <c:v>1.5715710023390673E-30</c:v>
                </c:pt>
                <c:pt idx="20">
                  <c:v>2.6449424720322257E-30</c:v>
                </c:pt>
                <c:pt idx="21">
                  <c:v>1.3431491715911609E-30</c:v>
                </c:pt>
                <c:pt idx="22">
                  <c:v>2.6154766162601288E-30</c:v>
                </c:pt>
                <c:pt idx="23">
                  <c:v>1.2479292200449941E-29</c:v>
                </c:pt>
                <c:pt idx="24">
                  <c:v>3.3864597849923435E-29</c:v>
                </c:pt>
                <c:pt idx="25">
                  <c:v>4.1023232261821436E-30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96-4646-ACCD-77B3CF614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18655936"/>
        <c:axId val="-1218655392"/>
      </c:barChart>
      <c:catAx>
        <c:axId val="-121865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18655392"/>
        <c:crosses val="autoZero"/>
        <c:auto val="1"/>
        <c:lblAlgn val="ctr"/>
        <c:lblOffset val="100"/>
        <c:noMultiLvlLbl val="0"/>
      </c:catAx>
      <c:valAx>
        <c:axId val="-12186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1865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165100</xdr:rowOff>
        </xdr:from>
        <xdr:to>
          <xdr:col>3</xdr:col>
          <xdr:colOff>679450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1403350</xdr:colOff>
          <xdr:row>2</xdr:row>
          <xdr:rowOff>165100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1403350</xdr:colOff>
          <xdr:row>1</xdr:row>
          <xdr:rowOff>165100</xdr:rowOff>
        </xdr:from>
        <xdr:to>
          <xdr:col>3</xdr:col>
          <xdr:colOff>1403350</xdr:colOff>
          <xdr:row>2</xdr:row>
          <xdr:rowOff>184150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1403350</xdr:colOff>
          <xdr:row>1</xdr:row>
          <xdr:rowOff>165100</xdr:rowOff>
        </xdr:from>
        <xdr:to>
          <xdr:col>3</xdr:col>
          <xdr:colOff>1403350</xdr:colOff>
          <xdr:row>2</xdr:row>
          <xdr:rowOff>184150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1365250</xdr:colOff>
          <xdr:row>2</xdr:row>
          <xdr:rowOff>165100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1403350</xdr:colOff>
          <xdr:row>1</xdr:row>
          <xdr:rowOff>165100</xdr:rowOff>
        </xdr:from>
        <xdr:to>
          <xdr:col>3</xdr:col>
          <xdr:colOff>1403350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850900</xdr:colOff>
          <xdr:row>1</xdr:row>
          <xdr:rowOff>152400</xdr:rowOff>
        </xdr:from>
        <xdr:to>
          <xdr:col>3</xdr:col>
          <xdr:colOff>1098550</xdr:colOff>
          <xdr:row>3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850900</xdr:colOff>
          <xdr:row>1</xdr:row>
          <xdr:rowOff>152400</xdr:rowOff>
        </xdr:from>
        <xdr:to>
          <xdr:col>3</xdr:col>
          <xdr:colOff>1098550</xdr:colOff>
          <xdr:row>3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3</xdr:col>
          <xdr:colOff>1098550</xdr:colOff>
          <xdr:row>3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165100</xdr:rowOff>
        </xdr:from>
        <xdr:to>
          <xdr:col>2</xdr:col>
          <xdr:colOff>0</xdr:colOff>
          <xdr:row>2</xdr:row>
          <xdr:rowOff>184150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D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165100</xdr:rowOff>
        </xdr:from>
        <xdr:to>
          <xdr:col>2</xdr:col>
          <xdr:colOff>0</xdr:colOff>
          <xdr:row>2</xdr:row>
          <xdr:rowOff>184150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E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165100</xdr:rowOff>
        </xdr:from>
        <xdr:to>
          <xdr:col>3</xdr:col>
          <xdr:colOff>1174750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</xdr:row>
          <xdr:rowOff>165100</xdr:rowOff>
        </xdr:from>
        <xdr:to>
          <xdr:col>1</xdr:col>
          <xdr:colOff>1181100</xdr:colOff>
          <xdr:row>2</xdr:row>
          <xdr:rowOff>184150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165100</xdr:rowOff>
        </xdr:from>
        <xdr:to>
          <xdr:col>3</xdr:col>
          <xdr:colOff>1174750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BBC9C200-96A5-48DC-B698-CAC09062F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</xdr:row>
          <xdr:rowOff>165100</xdr:rowOff>
        </xdr:from>
        <xdr:to>
          <xdr:col>1</xdr:col>
          <xdr:colOff>1181100</xdr:colOff>
          <xdr:row>2</xdr:row>
          <xdr:rowOff>184150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AB6E3C2B-E134-4935-9556-CE8DCC014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527050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14287</xdr:colOff>
      <xdr:row>8</xdr:row>
      <xdr:rowOff>166687</xdr:rowOff>
    </xdr:from>
    <xdr:to>
      <xdr:col>13</xdr:col>
      <xdr:colOff>471487</xdr:colOff>
      <xdr:row>24</xdr:row>
      <xdr:rowOff>166687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165100</xdr:rowOff>
        </xdr:from>
        <xdr:to>
          <xdr:col>4</xdr:col>
          <xdr:colOff>793750</xdr:colOff>
          <xdr:row>3</xdr:row>
          <xdr:rowOff>12700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184150</xdr:rowOff>
        </xdr:from>
        <xdr:to>
          <xdr:col>2</xdr:col>
          <xdr:colOff>0</xdr:colOff>
          <xdr:row>3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0"/>
  <sheetViews>
    <sheetView tabSelected="1" workbookViewId="0"/>
  </sheetViews>
  <sheetFormatPr defaultColWidth="8.90625" defaultRowHeight="13" x14ac:dyDescent="0.2"/>
  <cols>
    <col min="1" max="1" width="14.6328125" customWidth="1"/>
    <col min="2" max="2" width="11.6328125" customWidth="1"/>
    <col min="3" max="3" width="4.6328125" customWidth="1"/>
    <col min="4" max="5" width="9" customWidth="1"/>
  </cols>
  <sheetData>
    <row r="1" spans="1:23" x14ac:dyDescent="0.2">
      <c r="A1" s="14" t="s">
        <v>114</v>
      </c>
      <c r="B1" s="14"/>
    </row>
    <row r="2" spans="1:23" x14ac:dyDescent="0.2">
      <c r="A2" s="16"/>
      <c r="B2" s="16"/>
    </row>
    <row r="3" spans="1:23" x14ac:dyDescent="0.2">
      <c r="A3" s="14" t="s">
        <v>122</v>
      </c>
      <c r="B3" s="14"/>
    </row>
    <row r="5" spans="1:23" x14ac:dyDescent="0.2">
      <c r="A5" s="1" t="s">
        <v>0</v>
      </c>
      <c r="B5" s="15">
        <v>10</v>
      </c>
    </row>
    <row r="6" spans="1:23" x14ac:dyDescent="0.2">
      <c r="A6" s="1" t="s">
        <v>221</v>
      </c>
      <c r="B6" s="37">
        <v>5.3955755135051565E-3</v>
      </c>
    </row>
    <row r="7" spans="1:23" x14ac:dyDescent="0.2">
      <c r="A7" s="1" t="s">
        <v>115</v>
      </c>
      <c r="B7" s="37">
        <v>0</v>
      </c>
    </row>
    <row r="9" spans="1:23" x14ac:dyDescent="0.2">
      <c r="A9" s="2" t="s">
        <v>117</v>
      </c>
      <c r="B9" s="2" t="s">
        <v>118</v>
      </c>
      <c r="C9" s="2"/>
      <c r="D9" s="3" t="s">
        <v>119</v>
      </c>
      <c r="E9" s="4"/>
      <c r="F9" s="4"/>
      <c r="G9" s="4"/>
      <c r="H9" s="4"/>
      <c r="I9" s="4"/>
      <c r="J9" s="4"/>
      <c r="K9" s="4"/>
      <c r="L9" s="4"/>
      <c r="M9" s="5"/>
      <c r="N9" s="3"/>
      <c r="O9" s="4"/>
      <c r="P9" s="4"/>
      <c r="Q9" s="4"/>
      <c r="R9" s="4"/>
      <c r="S9" s="4"/>
      <c r="T9" s="4"/>
      <c r="U9" s="4"/>
      <c r="V9" s="4"/>
      <c r="W9" s="5"/>
    </row>
    <row r="10" spans="1:23" x14ac:dyDescent="0.2">
      <c r="A10" s="6" t="s">
        <v>120</v>
      </c>
      <c r="B10" s="6" t="s">
        <v>121</v>
      </c>
      <c r="C10" s="6"/>
      <c r="D10" s="7">
        <v>1</v>
      </c>
      <c r="E10" s="8">
        <v>2</v>
      </c>
      <c r="F10" s="8">
        <v>3</v>
      </c>
      <c r="G10" s="8">
        <v>4</v>
      </c>
      <c r="H10" s="8">
        <v>5</v>
      </c>
      <c r="I10" s="8">
        <v>6</v>
      </c>
      <c r="J10" s="8">
        <v>7</v>
      </c>
      <c r="K10" s="8">
        <v>8</v>
      </c>
      <c r="L10" s="8">
        <v>9</v>
      </c>
      <c r="M10" s="9">
        <v>10</v>
      </c>
      <c r="N10" s="7">
        <v>11</v>
      </c>
      <c r="O10" s="8">
        <v>12</v>
      </c>
      <c r="P10" s="8">
        <v>13</v>
      </c>
      <c r="Q10" s="8">
        <v>14</v>
      </c>
      <c r="R10" s="8">
        <v>15</v>
      </c>
      <c r="S10" s="8">
        <v>16</v>
      </c>
      <c r="T10" s="8">
        <v>17</v>
      </c>
      <c r="U10" s="8">
        <v>18</v>
      </c>
      <c r="V10" s="8">
        <v>19</v>
      </c>
      <c r="W10" s="9">
        <v>20</v>
      </c>
    </row>
    <row r="11" spans="1:23" x14ac:dyDescent="0.2">
      <c r="A11" s="38">
        <v>-0.1599999999999995</v>
      </c>
      <c r="B11" s="17">
        <v>1.8143000000000002</v>
      </c>
      <c r="C11" s="10">
        <v>1</v>
      </c>
      <c r="D11" s="13">
        <v>0.2</v>
      </c>
      <c r="E11" s="20">
        <v>-0.11</v>
      </c>
      <c r="F11" s="20">
        <v>-0.93</v>
      </c>
      <c r="G11" s="20">
        <v>-0.32</v>
      </c>
      <c r="H11" s="20">
        <v>0.81</v>
      </c>
      <c r="I11" s="20">
        <v>0.37</v>
      </c>
      <c r="J11" s="20">
        <v>-0.8</v>
      </c>
      <c r="K11" s="20">
        <v>-0.92</v>
      </c>
      <c r="L11" s="20">
        <v>-0.28999999999999998</v>
      </c>
      <c r="M11" s="21">
        <v>0.86</v>
      </c>
      <c r="N11" s="13"/>
      <c r="O11" s="20"/>
      <c r="P11" s="20"/>
      <c r="Q11" s="20"/>
      <c r="R11" s="20"/>
      <c r="S11" s="20"/>
      <c r="T11" s="20"/>
      <c r="U11" s="20"/>
      <c r="V11" s="20"/>
      <c r="W11" s="21"/>
    </row>
    <row r="12" spans="1:23" x14ac:dyDescent="0.2">
      <c r="A12" s="39">
        <v>-0.89</v>
      </c>
      <c r="B12" s="18">
        <v>-0.72870000000000001</v>
      </c>
      <c r="C12" s="11">
        <v>2</v>
      </c>
      <c r="D12" s="22">
        <v>0.64</v>
      </c>
      <c r="E12" s="23">
        <v>0.51</v>
      </c>
      <c r="F12" s="23">
        <v>0.71</v>
      </c>
      <c r="G12" s="23">
        <v>0.59</v>
      </c>
      <c r="H12" s="23">
        <v>-0.15</v>
      </c>
      <c r="I12" s="23">
        <v>0.19</v>
      </c>
      <c r="J12" s="23">
        <v>0.2</v>
      </c>
      <c r="K12" s="23">
        <v>0.94</v>
      </c>
      <c r="L12" s="23">
        <v>0.79</v>
      </c>
      <c r="M12" s="24">
        <v>-0.13</v>
      </c>
      <c r="N12" s="22"/>
      <c r="O12" s="23"/>
      <c r="P12" s="23"/>
      <c r="Q12" s="23"/>
      <c r="R12" s="23"/>
      <c r="S12" s="23"/>
      <c r="T12" s="23"/>
      <c r="U12" s="23"/>
      <c r="V12" s="23"/>
      <c r="W12" s="24"/>
    </row>
    <row r="13" spans="1:23" x14ac:dyDescent="0.2">
      <c r="A13" s="39">
        <v>-0.45000000000000084</v>
      </c>
      <c r="B13" s="18">
        <v>0.34180000000000016</v>
      </c>
      <c r="C13" s="11">
        <v>3</v>
      </c>
      <c r="D13" s="22">
        <v>0.13</v>
      </c>
      <c r="E13" s="23">
        <v>0.75</v>
      </c>
      <c r="F13" s="23">
        <v>-0.91</v>
      </c>
      <c r="G13" s="23">
        <v>0.3</v>
      </c>
      <c r="H13" s="23">
        <v>-0.66</v>
      </c>
      <c r="I13" s="23">
        <v>0.08</v>
      </c>
      <c r="J13" s="23">
        <v>0.69</v>
      </c>
      <c r="K13" s="23">
        <v>-0.7</v>
      </c>
      <c r="L13" s="23">
        <v>-0.47</v>
      </c>
      <c r="M13" s="24">
        <v>0.5</v>
      </c>
      <c r="N13" s="22"/>
      <c r="O13" s="23"/>
      <c r="P13" s="23"/>
      <c r="Q13" s="23"/>
      <c r="R13" s="23"/>
      <c r="S13" s="23"/>
      <c r="T13" s="23"/>
      <c r="U13" s="23"/>
      <c r="V13" s="23"/>
      <c r="W13" s="24"/>
    </row>
    <row r="14" spans="1:23" x14ac:dyDescent="0.2">
      <c r="A14" s="39">
        <v>0.30000000000000004</v>
      </c>
      <c r="B14" s="18">
        <v>-2.012</v>
      </c>
      <c r="C14" s="11">
        <v>4</v>
      </c>
      <c r="D14" s="22">
        <v>0.98</v>
      </c>
      <c r="E14" s="23">
        <v>0.26</v>
      </c>
      <c r="F14" s="23">
        <v>-0.39</v>
      </c>
      <c r="G14" s="23">
        <v>-0.13</v>
      </c>
      <c r="H14" s="23">
        <v>0.51</v>
      </c>
      <c r="I14" s="23">
        <v>-0.79</v>
      </c>
      <c r="J14" s="23">
        <v>0.65</v>
      </c>
      <c r="K14" s="23">
        <v>-0.36</v>
      </c>
      <c r="L14" s="23">
        <v>-0.9</v>
      </c>
      <c r="M14" s="24">
        <v>0.31</v>
      </c>
      <c r="N14" s="22"/>
      <c r="O14" s="23"/>
      <c r="P14" s="23"/>
      <c r="Q14" s="23"/>
      <c r="R14" s="23"/>
      <c r="S14" s="23"/>
      <c r="T14" s="23"/>
      <c r="U14" s="23"/>
      <c r="V14" s="23"/>
      <c r="W14" s="24"/>
    </row>
    <row r="15" spans="1:23" x14ac:dyDescent="0.2">
      <c r="A15" s="39">
        <v>-0.77999999999999992</v>
      </c>
      <c r="B15" s="18">
        <v>-0.47009999999999991</v>
      </c>
      <c r="C15" s="11">
        <v>5</v>
      </c>
      <c r="D15" s="22">
        <v>-0.75</v>
      </c>
      <c r="E15" s="23">
        <v>0.57999999999999996</v>
      </c>
      <c r="F15" s="23">
        <v>0.5</v>
      </c>
      <c r="G15" s="23">
        <v>-0.08</v>
      </c>
      <c r="H15" s="23">
        <v>-0.51</v>
      </c>
      <c r="I15" s="23">
        <v>-0.87</v>
      </c>
      <c r="J15" s="23">
        <v>-0.44</v>
      </c>
      <c r="K15" s="23">
        <v>-0.89</v>
      </c>
      <c r="L15" s="23">
        <v>-0.71</v>
      </c>
      <c r="M15" s="24">
        <v>0.12</v>
      </c>
      <c r="N15" s="22"/>
      <c r="O15" s="23"/>
      <c r="P15" s="23"/>
      <c r="Q15" s="23"/>
      <c r="R15" s="23"/>
      <c r="S15" s="23"/>
      <c r="T15" s="23"/>
      <c r="U15" s="23"/>
      <c r="V15" s="23"/>
      <c r="W15" s="24"/>
    </row>
    <row r="16" spans="1:23" x14ac:dyDescent="0.2">
      <c r="A16" s="39">
        <v>0.85999999999999921</v>
      </c>
      <c r="B16" s="18">
        <v>0.98730000000000007</v>
      </c>
      <c r="C16" s="11">
        <v>6</v>
      </c>
      <c r="D16" s="22">
        <v>-0.11</v>
      </c>
      <c r="E16" s="23">
        <v>0.69</v>
      </c>
      <c r="F16" s="23">
        <v>-0.65</v>
      </c>
      <c r="G16" s="23">
        <v>0.09</v>
      </c>
      <c r="H16" s="23">
        <v>0.01</v>
      </c>
      <c r="I16" s="23">
        <v>0.73</v>
      </c>
      <c r="J16" s="23">
        <v>0.54</v>
      </c>
      <c r="K16" s="23">
        <v>-0.94</v>
      </c>
      <c r="L16" s="23">
        <v>-0.01</v>
      </c>
      <c r="M16" s="24">
        <v>0.63</v>
      </c>
      <c r="N16" s="22"/>
      <c r="O16" s="23"/>
      <c r="P16" s="23"/>
      <c r="Q16" s="23"/>
      <c r="R16" s="23"/>
      <c r="S16" s="23"/>
      <c r="T16" s="23"/>
      <c r="U16" s="23"/>
      <c r="V16" s="23"/>
      <c r="W16" s="24"/>
    </row>
    <row r="17" spans="1:23" x14ac:dyDescent="0.2">
      <c r="A17" s="39">
        <v>-0.83</v>
      </c>
      <c r="B17" s="18">
        <v>-1.4354</v>
      </c>
      <c r="C17" s="11">
        <v>7</v>
      </c>
      <c r="D17" s="22">
        <v>-0.19</v>
      </c>
      <c r="E17" s="23">
        <v>0.81</v>
      </c>
      <c r="F17" s="23">
        <v>0.63</v>
      </c>
      <c r="G17" s="23">
        <v>-0.37</v>
      </c>
      <c r="H17" s="23">
        <v>0.59</v>
      </c>
      <c r="I17" s="23">
        <v>-0.36</v>
      </c>
      <c r="J17" s="23">
        <v>-0.9</v>
      </c>
      <c r="K17" s="23">
        <v>-0.18</v>
      </c>
      <c r="L17" s="23">
        <v>-0.28000000000000003</v>
      </c>
      <c r="M17" s="24">
        <v>-0.3</v>
      </c>
      <c r="N17" s="22"/>
      <c r="O17" s="23"/>
      <c r="P17" s="23"/>
      <c r="Q17" s="23"/>
      <c r="R17" s="23"/>
      <c r="S17" s="23"/>
      <c r="T17" s="23"/>
      <c r="U17" s="23"/>
      <c r="V17" s="23"/>
      <c r="W17" s="24"/>
    </row>
    <row r="18" spans="1:23" x14ac:dyDescent="0.2">
      <c r="A18" s="39">
        <v>-0.62000000000000033</v>
      </c>
      <c r="B18" s="18">
        <v>-0.50049999999999994</v>
      </c>
      <c r="C18" s="11">
        <v>8</v>
      </c>
      <c r="D18" s="22">
        <v>-0.89</v>
      </c>
      <c r="E18" s="23">
        <v>-0.3</v>
      </c>
      <c r="F18" s="23">
        <v>0.82</v>
      </c>
      <c r="G18" s="23">
        <v>0.72</v>
      </c>
      <c r="H18" s="23">
        <v>-0.43</v>
      </c>
      <c r="I18" s="23">
        <v>0.19</v>
      </c>
      <c r="J18" s="23">
        <v>0.22</v>
      </c>
      <c r="K18" s="23">
        <v>0.35</v>
      </c>
      <c r="L18" s="23">
        <v>-0.28999999999999998</v>
      </c>
      <c r="M18" s="24">
        <v>-0.8</v>
      </c>
      <c r="N18" s="22"/>
      <c r="O18" s="23"/>
      <c r="P18" s="23"/>
      <c r="Q18" s="23"/>
      <c r="R18" s="23"/>
      <c r="S18" s="23"/>
      <c r="T18" s="23"/>
      <c r="U18" s="23"/>
      <c r="V18" s="23"/>
      <c r="W18" s="24"/>
    </row>
    <row r="19" spans="1:23" x14ac:dyDescent="0.2">
      <c r="A19" s="39">
        <v>0.69000000000000106</v>
      </c>
      <c r="B19" s="18">
        <v>-0.74070000000000003</v>
      </c>
      <c r="C19" s="11">
        <v>9</v>
      </c>
      <c r="D19" s="22">
        <v>-0.64</v>
      </c>
      <c r="E19" s="23">
        <v>0.87</v>
      </c>
      <c r="F19" s="23">
        <v>0.79</v>
      </c>
      <c r="G19" s="23">
        <v>0.62</v>
      </c>
      <c r="H19" s="23">
        <v>-0.28000000000000003</v>
      </c>
      <c r="I19" s="23">
        <v>0.51</v>
      </c>
      <c r="J19" s="23">
        <v>0.2</v>
      </c>
      <c r="K19" s="23">
        <v>-0.16</v>
      </c>
      <c r="L19" s="23">
        <v>0.17</v>
      </c>
      <c r="M19" s="24">
        <v>-0.74</v>
      </c>
      <c r="N19" s="22"/>
      <c r="O19" s="23"/>
      <c r="P19" s="23"/>
      <c r="Q19" s="23"/>
      <c r="R19" s="23"/>
      <c r="S19" s="23"/>
      <c r="T19" s="23"/>
      <c r="U19" s="23"/>
      <c r="V19" s="23"/>
      <c r="W19" s="24"/>
    </row>
    <row r="20" spans="1:23" x14ac:dyDescent="0.2">
      <c r="A20" s="40">
        <v>0.81999999999999917</v>
      </c>
      <c r="B20" s="19">
        <v>-2.2100000000000004</v>
      </c>
      <c r="C20" s="12">
        <v>10</v>
      </c>
      <c r="D20" s="25">
        <v>0.16</v>
      </c>
      <c r="E20" s="26">
        <v>-0.14000000000000001</v>
      </c>
      <c r="F20" s="26">
        <v>0.93</v>
      </c>
      <c r="G20" s="26">
        <v>-0.92</v>
      </c>
      <c r="H20" s="26">
        <v>0.87</v>
      </c>
      <c r="I20" s="26">
        <v>-0.28999999999999998</v>
      </c>
      <c r="J20" s="26">
        <v>-0.04</v>
      </c>
      <c r="K20" s="26">
        <v>0.75</v>
      </c>
      <c r="L20" s="26">
        <v>0.13</v>
      </c>
      <c r="M20" s="27">
        <v>-0.42</v>
      </c>
      <c r="N20" s="25"/>
      <c r="O20" s="26"/>
      <c r="P20" s="26"/>
      <c r="Q20" s="26"/>
      <c r="R20" s="26"/>
      <c r="S20" s="26"/>
      <c r="T20" s="26"/>
      <c r="U20" s="26"/>
      <c r="V20" s="26"/>
      <c r="W20" s="27"/>
    </row>
    <row r="21" spans="1:23" x14ac:dyDescent="0.2">
      <c r="A21" s="38"/>
      <c r="B21" s="17"/>
      <c r="C21" s="10">
        <v>11</v>
      </c>
      <c r="D21" s="13"/>
      <c r="E21" s="20"/>
      <c r="F21" s="20"/>
      <c r="G21" s="20"/>
      <c r="H21" s="20"/>
      <c r="I21" s="20"/>
      <c r="J21" s="20"/>
      <c r="K21" s="20"/>
      <c r="L21" s="20"/>
      <c r="M21" s="21"/>
      <c r="N21" s="13"/>
      <c r="O21" s="20"/>
      <c r="P21" s="20"/>
      <c r="Q21" s="20"/>
      <c r="R21" s="20"/>
      <c r="S21" s="20"/>
      <c r="T21" s="20"/>
      <c r="U21" s="20"/>
      <c r="V21" s="20"/>
      <c r="W21" s="21"/>
    </row>
    <row r="22" spans="1:23" x14ac:dyDescent="0.2">
      <c r="A22" s="39"/>
      <c r="B22" s="18"/>
      <c r="C22" s="11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23"/>
      <c r="Q22" s="23"/>
      <c r="R22" s="23"/>
      <c r="S22" s="23"/>
      <c r="T22" s="23"/>
      <c r="U22" s="23"/>
      <c r="V22" s="23"/>
      <c r="W22" s="24"/>
    </row>
    <row r="23" spans="1:23" x14ac:dyDescent="0.2">
      <c r="A23" s="39"/>
      <c r="B23" s="18"/>
      <c r="C23" s="11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23"/>
      <c r="R23" s="23"/>
      <c r="S23" s="23"/>
      <c r="T23" s="23"/>
      <c r="U23" s="23"/>
      <c r="V23" s="23"/>
      <c r="W23" s="24"/>
    </row>
    <row r="24" spans="1:23" x14ac:dyDescent="0.2">
      <c r="A24" s="39"/>
      <c r="B24" s="18"/>
      <c r="C24" s="11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23"/>
      <c r="S24" s="23"/>
      <c r="T24" s="23"/>
      <c r="U24" s="23"/>
      <c r="V24" s="23"/>
      <c r="W24" s="24"/>
    </row>
    <row r="25" spans="1:23" x14ac:dyDescent="0.2">
      <c r="A25" s="39"/>
      <c r="B25" s="18"/>
      <c r="C25" s="11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23"/>
      <c r="T25" s="23"/>
      <c r="U25" s="23"/>
      <c r="V25" s="23"/>
      <c r="W25" s="24"/>
    </row>
    <row r="26" spans="1:23" x14ac:dyDescent="0.2">
      <c r="A26" s="39"/>
      <c r="B26" s="18"/>
      <c r="C26" s="11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23"/>
      <c r="U26" s="23"/>
      <c r="V26" s="23"/>
      <c r="W26" s="24"/>
    </row>
    <row r="27" spans="1:23" x14ac:dyDescent="0.2">
      <c r="A27" s="39"/>
      <c r="B27" s="18"/>
      <c r="C27" s="11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23"/>
      <c r="V27" s="23"/>
      <c r="W27" s="24"/>
    </row>
    <row r="28" spans="1:23" x14ac:dyDescent="0.2">
      <c r="A28" s="39"/>
      <c r="B28" s="18"/>
      <c r="C28" s="11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23"/>
      <c r="W28" s="24"/>
    </row>
    <row r="29" spans="1:23" x14ac:dyDescent="0.2">
      <c r="A29" s="39"/>
      <c r="B29" s="18"/>
      <c r="C29" s="11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24"/>
    </row>
    <row r="30" spans="1:23" x14ac:dyDescent="0.2">
      <c r="A30" s="40"/>
      <c r="B30" s="19"/>
      <c r="C30" s="12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Dgesv">
                <anchor moveWithCells="1" sizeWithCells="1">
                  <from>
                    <xdr:col>2</xdr:col>
                    <xdr:colOff>342900</xdr:colOff>
                    <xdr:row>3</xdr:row>
                    <xdr:rowOff>165100</xdr:rowOff>
                  </from>
                  <to>
                    <xdr:col>3</xdr:col>
                    <xdr:colOff>679450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30"/>
  <sheetViews>
    <sheetView workbookViewId="0"/>
  </sheetViews>
  <sheetFormatPr defaultColWidth="8.90625" defaultRowHeight="13" x14ac:dyDescent="0.2"/>
  <cols>
    <col min="1" max="1" width="14.6328125" customWidth="1"/>
    <col min="2" max="2" width="11.6328125" customWidth="1"/>
    <col min="3" max="3" width="4.6328125" customWidth="1"/>
    <col min="5" max="5" width="9" customWidth="1"/>
  </cols>
  <sheetData>
    <row r="1" spans="1:23" x14ac:dyDescent="0.2">
      <c r="A1" s="14" t="s">
        <v>114</v>
      </c>
    </row>
    <row r="2" spans="1:23" x14ac:dyDescent="0.2">
      <c r="A2" s="16"/>
    </row>
    <row r="3" spans="1:23" x14ac:dyDescent="0.2">
      <c r="A3" s="14" t="s">
        <v>210</v>
      </c>
    </row>
    <row r="5" spans="1:23" x14ac:dyDescent="0.2">
      <c r="A5" s="1" t="s">
        <v>0</v>
      </c>
      <c r="B5" s="15">
        <v>10</v>
      </c>
    </row>
    <row r="6" spans="1:23" x14ac:dyDescent="0.2">
      <c r="A6" s="1" t="s">
        <v>221</v>
      </c>
      <c r="B6" s="37">
        <v>0.42341194736962046</v>
      </c>
    </row>
    <row r="7" spans="1:23" x14ac:dyDescent="0.2">
      <c r="A7" s="1" t="s">
        <v>116</v>
      </c>
      <c r="B7" s="37">
        <v>0</v>
      </c>
    </row>
    <row r="9" spans="1:23" x14ac:dyDescent="0.2">
      <c r="A9" s="2" t="s">
        <v>117</v>
      </c>
      <c r="B9" s="2" t="s">
        <v>118</v>
      </c>
      <c r="C9" s="2"/>
      <c r="D9" s="3" t="s">
        <v>222</v>
      </c>
      <c r="E9" s="4"/>
      <c r="F9" s="4"/>
      <c r="G9" s="4"/>
      <c r="H9" s="4"/>
      <c r="I9" s="4"/>
      <c r="J9" s="4"/>
      <c r="K9" s="4"/>
      <c r="L9" s="4"/>
      <c r="M9" s="5"/>
      <c r="N9" s="3"/>
      <c r="O9" s="4"/>
      <c r="P9" s="4"/>
      <c r="Q9" s="4"/>
      <c r="R9" s="4"/>
      <c r="S9" s="4"/>
      <c r="T9" s="4"/>
      <c r="U9" s="4"/>
      <c r="V9" s="4"/>
      <c r="W9" s="5"/>
    </row>
    <row r="10" spans="1:23" x14ac:dyDescent="0.2">
      <c r="A10" s="6" t="s">
        <v>120</v>
      </c>
      <c r="B10" s="6" t="s">
        <v>121</v>
      </c>
      <c r="C10" s="6"/>
      <c r="D10" s="7">
        <v>1</v>
      </c>
      <c r="E10" s="8">
        <v>2</v>
      </c>
      <c r="F10" s="8">
        <v>3</v>
      </c>
      <c r="G10" s="8">
        <v>4</v>
      </c>
      <c r="H10" s="8">
        <v>5</v>
      </c>
      <c r="I10" s="8">
        <v>6</v>
      </c>
      <c r="J10" s="8">
        <v>7</v>
      </c>
      <c r="K10" s="8">
        <v>8</v>
      </c>
      <c r="L10" s="8">
        <v>9</v>
      </c>
      <c r="M10" s="9">
        <v>10</v>
      </c>
      <c r="N10" s="7">
        <v>11</v>
      </c>
      <c r="O10" s="8">
        <v>12</v>
      </c>
      <c r="P10" s="8">
        <v>13</v>
      </c>
      <c r="Q10" s="8">
        <v>14</v>
      </c>
      <c r="R10" s="8">
        <v>15</v>
      </c>
      <c r="S10" s="8">
        <v>16</v>
      </c>
      <c r="T10" s="8">
        <v>17</v>
      </c>
      <c r="U10" s="8">
        <v>18</v>
      </c>
      <c r="V10" s="8">
        <v>19</v>
      </c>
      <c r="W10" s="9">
        <v>20</v>
      </c>
    </row>
    <row r="11" spans="1:23" x14ac:dyDescent="0.2">
      <c r="A11" s="38">
        <v>0.43999999999999989</v>
      </c>
      <c r="B11" s="17">
        <v>6.0210999999999997</v>
      </c>
      <c r="C11" s="10">
        <v>1</v>
      </c>
      <c r="D11" s="13">
        <v>9.44</v>
      </c>
      <c r="E11" s="28">
        <v>0.39</v>
      </c>
      <c r="F11" s="28">
        <v>-0.62</v>
      </c>
      <c r="G11" s="28">
        <v>-0.5</v>
      </c>
      <c r="H11" s="28">
        <v>-0.63</v>
      </c>
      <c r="I11" s="28">
        <v>0.43</v>
      </c>
      <c r="J11" s="28">
        <v>0.44</v>
      </c>
      <c r="K11" s="28">
        <v>0.16</v>
      </c>
      <c r="L11" s="28">
        <v>-0.63</v>
      </c>
      <c r="M11" s="29">
        <v>0.3</v>
      </c>
      <c r="N11" s="30"/>
      <c r="O11" s="28"/>
      <c r="P11" s="28"/>
      <c r="Q11" s="28"/>
      <c r="R11" s="28"/>
      <c r="S11" s="28"/>
      <c r="T11" s="28"/>
      <c r="U11" s="28"/>
      <c r="V11" s="28"/>
      <c r="W11" s="29"/>
    </row>
    <row r="12" spans="1:23" x14ac:dyDescent="0.2">
      <c r="A12" s="39">
        <v>1.0000000000000005E-2</v>
      </c>
      <c r="B12" s="18">
        <v>0.55599999999999994</v>
      </c>
      <c r="C12" s="11">
        <v>2</v>
      </c>
      <c r="D12" s="22">
        <v>0.39</v>
      </c>
      <c r="E12" s="23">
        <v>9.4600000000000009</v>
      </c>
      <c r="F12" s="32">
        <v>0.55000000000000004</v>
      </c>
      <c r="G12" s="32">
        <v>0.9</v>
      </c>
      <c r="H12" s="32">
        <v>-0.53</v>
      </c>
      <c r="I12" s="32">
        <v>0.33</v>
      </c>
      <c r="J12" s="32">
        <v>0.79</v>
      </c>
      <c r="K12" s="32">
        <v>0.26</v>
      </c>
      <c r="L12" s="32">
        <v>-0.01</v>
      </c>
      <c r="M12" s="33">
        <v>0.8</v>
      </c>
      <c r="N12" s="31"/>
      <c r="O12" s="32"/>
      <c r="P12" s="32"/>
      <c r="Q12" s="32"/>
      <c r="R12" s="32"/>
      <c r="S12" s="32"/>
      <c r="T12" s="32"/>
      <c r="U12" s="32"/>
      <c r="V12" s="32"/>
      <c r="W12" s="33"/>
    </row>
    <row r="13" spans="1:23" x14ac:dyDescent="0.2">
      <c r="A13" s="39">
        <v>-0.6499999999999998</v>
      </c>
      <c r="B13" s="18">
        <v>-7.666199999999999</v>
      </c>
      <c r="C13" s="11">
        <v>3</v>
      </c>
      <c r="D13" s="22">
        <v>-0.62</v>
      </c>
      <c r="E13" s="23">
        <v>0.55000000000000004</v>
      </c>
      <c r="F13" s="23">
        <v>9.86</v>
      </c>
      <c r="G13" s="32">
        <v>0.64</v>
      </c>
      <c r="H13" s="32">
        <v>0.85</v>
      </c>
      <c r="I13" s="32">
        <v>0.55000000000000004</v>
      </c>
      <c r="J13" s="32">
        <v>-0.55000000000000004</v>
      </c>
      <c r="K13" s="32">
        <v>-0.72</v>
      </c>
      <c r="L13" s="32">
        <v>0.95</v>
      </c>
      <c r="M13" s="33">
        <v>-0.32</v>
      </c>
      <c r="N13" s="31"/>
      <c r="O13" s="32"/>
      <c r="P13" s="32"/>
      <c r="Q13" s="32"/>
      <c r="R13" s="32"/>
      <c r="S13" s="32"/>
      <c r="T13" s="32"/>
      <c r="U13" s="32"/>
      <c r="V13" s="32"/>
      <c r="W13" s="33"/>
    </row>
    <row r="14" spans="1:23" x14ac:dyDescent="0.2">
      <c r="A14" s="39">
        <v>-0.44000000000000017</v>
      </c>
      <c r="B14" s="18">
        <v>-4.7719000000000005</v>
      </c>
      <c r="C14" s="11">
        <v>4</v>
      </c>
      <c r="D14" s="22">
        <v>-0.5</v>
      </c>
      <c r="E14" s="23">
        <v>0.9</v>
      </c>
      <c r="F14" s="23">
        <v>0.64</v>
      </c>
      <c r="G14" s="23">
        <v>9.56</v>
      </c>
      <c r="H14" s="32">
        <v>-0.48</v>
      </c>
      <c r="I14" s="32">
        <v>0.52</v>
      </c>
      <c r="J14" s="32">
        <v>-0.28999999999999998</v>
      </c>
      <c r="K14" s="32">
        <v>-0.88</v>
      </c>
      <c r="L14" s="32">
        <v>0.54</v>
      </c>
      <c r="M14" s="33">
        <v>-0.77</v>
      </c>
      <c r="N14" s="31"/>
      <c r="O14" s="32"/>
      <c r="P14" s="32"/>
      <c r="Q14" s="32"/>
      <c r="R14" s="32"/>
      <c r="S14" s="32"/>
      <c r="T14" s="32"/>
      <c r="U14" s="32"/>
      <c r="V14" s="32"/>
      <c r="W14" s="33"/>
    </row>
    <row r="15" spans="1:23" x14ac:dyDescent="0.2">
      <c r="A15" s="39">
        <v>-0.83000000000000007</v>
      </c>
      <c r="B15" s="18">
        <v>-8.8592000000000013</v>
      </c>
      <c r="C15" s="11">
        <v>5</v>
      </c>
      <c r="D15" s="22">
        <v>-0.63</v>
      </c>
      <c r="E15" s="23">
        <v>-0.53</v>
      </c>
      <c r="F15" s="23">
        <v>0.85</v>
      </c>
      <c r="G15" s="23">
        <v>-0.48</v>
      </c>
      <c r="H15" s="23">
        <v>9.49</v>
      </c>
      <c r="I15" s="32">
        <v>-0.38</v>
      </c>
      <c r="J15" s="32">
        <v>0.11</v>
      </c>
      <c r="K15" s="32">
        <v>0.27</v>
      </c>
      <c r="L15" s="32">
        <v>-0.24</v>
      </c>
      <c r="M15" s="33">
        <v>-0.15</v>
      </c>
      <c r="N15" s="31"/>
      <c r="O15" s="32"/>
      <c r="P15" s="32"/>
      <c r="Q15" s="32"/>
      <c r="R15" s="32"/>
      <c r="S15" s="32"/>
      <c r="T15" s="32"/>
      <c r="U15" s="32"/>
      <c r="V15" s="32"/>
      <c r="W15" s="33"/>
    </row>
    <row r="16" spans="1:23" x14ac:dyDescent="0.2">
      <c r="A16" s="39">
        <v>0.95999999999999985</v>
      </c>
      <c r="B16" s="18">
        <v>9.8631999999999991</v>
      </c>
      <c r="C16" s="11">
        <v>6</v>
      </c>
      <c r="D16" s="22">
        <v>0.43</v>
      </c>
      <c r="E16" s="23">
        <v>0.33</v>
      </c>
      <c r="F16" s="23">
        <v>0.55000000000000004</v>
      </c>
      <c r="G16" s="23">
        <v>0.52</v>
      </c>
      <c r="H16" s="23">
        <v>-0.38</v>
      </c>
      <c r="I16" s="23">
        <v>9.65</v>
      </c>
      <c r="J16" s="32">
        <v>-0.28999999999999998</v>
      </c>
      <c r="K16" s="32">
        <v>0.68</v>
      </c>
      <c r="L16" s="32">
        <v>-0.03</v>
      </c>
      <c r="M16" s="33">
        <v>0.54</v>
      </c>
      <c r="N16" s="31"/>
      <c r="O16" s="32"/>
      <c r="P16" s="32"/>
      <c r="Q16" s="32"/>
      <c r="R16" s="32"/>
      <c r="S16" s="32"/>
      <c r="T16" s="32"/>
      <c r="U16" s="32"/>
      <c r="V16" s="32"/>
      <c r="W16" s="33"/>
    </row>
    <row r="17" spans="1:23" x14ac:dyDescent="0.2">
      <c r="A17" s="39">
        <v>-0.43000000000000005</v>
      </c>
      <c r="B17" s="18">
        <v>-3.9706999999999999</v>
      </c>
      <c r="C17" s="11">
        <v>7</v>
      </c>
      <c r="D17" s="22">
        <v>0.44</v>
      </c>
      <c r="E17" s="23">
        <v>0.79</v>
      </c>
      <c r="F17" s="23">
        <v>-0.55000000000000004</v>
      </c>
      <c r="G17" s="23">
        <v>-0.28999999999999998</v>
      </c>
      <c r="H17" s="23">
        <v>0.11</v>
      </c>
      <c r="I17" s="23">
        <v>-0.28999999999999998</v>
      </c>
      <c r="J17" s="23">
        <v>9.59</v>
      </c>
      <c r="K17" s="32">
        <v>0.28000000000000003</v>
      </c>
      <c r="L17" s="32">
        <v>0.09</v>
      </c>
      <c r="M17" s="33">
        <v>-0.28000000000000003</v>
      </c>
      <c r="N17" s="31"/>
      <c r="O17" s="32"/>
      <c r="P17" s="32"/>
      <c r="Q17" s="32"/>
      <c r="R17" s="32"/>
      <c r="S17" s="32"/>
      <c r="T17" s="32"/>
      <c r="U17" s="32"/>
      <c r="V17" s="32"/>
      <c r="W17" s="33"/>
    </row>
    <row r="18" spans="1:23" x14ac:dyDescent="0.2">
      <c r="A18" s="39">
        <v>0.24000000000000002</v>
      </c>
      <c r="B18" s="18">
        <v>3.1700000000000004</v>
      </c>
      <c r="C18" s="11">
        <v>8</v>
      </c>
      <c r="D18" s="22">
        <v>0.16</v>
      </c>
      <c r="E18" s="23">
        <v>0.26</v>
      </c>
      <c r="F18" s="23">
        <v>-0.72</v>
      </c>
      <c r="G18" s="23">
        <v>-0.88</v>
      </c>
      <c r="H18" s="23">
        <v>0.27</v>
      </c>
      <c r="I18" s="23">
        <v>0.68</v>
      </c>
      <c r="J18" s="23">
        <v>0.28000000000000003</v>
      </c>
      <c r="K18" s="23">
        <v>9.15</v>
      </c>
      <c r="L18" s="32">
        <v>0.35</v>
      </c>
      <c r="M18" s="33">
        <v>-0.18</v>
      </c>
      <c r="N18" s="31"/>
      <c r="O18" s="32"/>
      <c r="P18" s="32"/>
      <c r="Q18" s="32"/>
      <c r="R18" s="32"/>
      <c r="S18" s="32"/>
      <c r="T18" s="32"/>
      <c r="U18" s="32"/>
      <c r="V18" s="32"/>
      <c r="W18" s="33"/>
    </row>
    <row r="19" spans="1:23" x14ac:dyDescent="0.2">
      <c r="A19" s="39">
        <v>-0.38999999999999996</v>
      </c>
      <c r="B19" s="18">
        <v>-4.4355000000000002</v>
      </c>
      <c r="C19" s="11">
        <v>9</v>
      </c>
      <c r="D19" s="22">
        <v>-0.63</v>
      </c>
      <c r="E19" s="23">
        <v>-0.01</v>
      </c>
      <c r="F19" s="23">
        <v>0.95</v>
      </c>
      <c r="G19" s="23">
        <v>0.54</v>
      </c>
      <c r="H19" s="23">
        <v>-0.24</v>
      </c>
      <c r="I19" s="23">
        <v>-0.03</v>
      </c>
      <c r="J19" s="23">
        <v>0.09</v>
      </c>
      <c r="K19" s="23">
        <v>0.35</v>
      </c>
      <c r="L19" s="23">
        <v>9.92</v>
      </c>
      <c r="M19" s="33">
        <v>0.5</v>
      </c>
      <c r="N19" s="31"/>
      <c r="O19" s="32"/>
      <c r="P19" s="32"/>
      <c r="Q19" s="32"/>
      <c r="R19" s="32"/>
      <c r="S19" s="32"/>
      <c r="T19" s="32"/>
      <c r="U19" s="32"/>
      <c r="V19" s="32"/>
      <c r="W19" s="33"/>
    </row>
    <row r="20" spans="1:23" x14ac:dyDescent="0.2">
      <c r="A20" s="40">
        <v>0.69999999999999973</v>
      </c>
      <c r="B20" s="19">
        <v>7.6029</v>
      </c>
      <c r="C20" s="12">
        <v>10</v>
      </c>
      <c r="D20" s="25">
        <v>0.3</v>
      </c>
      <c r="E20" s="26">
        <v>0.8</v>
      </c>
      <c r="F20" s="26">
        <v>-0.32</v>
      </c>
      <c r="G20" s="26">
        <v>-0.77</v>
      </c>
      <c r="H20" s="26">
        <v>-0.15</v>
      </c>
      <c r="I20" s="26">
        <v>0.54</v>
      </c>
      <c r="J20" s="26">
        <v>-0.28000000000000003</v>
      </c>
      <c r="K20" s="26">
        <v>-0.18</v>
      </c>
      <c r="L20" s="26">
        <v>0.5</v>
      </c>
      <c r="M20" s="27">
        <v>9.1300000000000008</v>
      </c>
      <c r="N20" s="34"/>
      <c r="O20" s="35"/>
      <c r="P20" s="35"/>
      <c r="Q20" s="35"/>
      <c r="R20" s="35"/>
      <c r="S20" s="35"/>
      <c r="T20" s="35"/>
      <c r="U20" s="35"/>
      <c r="V20" s="35"/>
      <c r="W20" s="36"/>
    </row>
    <row r="21" spans="1:23" x14ac:dyDescent="0.2">
      <c r="A21" s="38"/>
      <c r="B21" s="17"/>
      <c r="C21" s="10">
        <v>11</v>
      </c>
      <c r="D21" s="13"/>
      <c r="E21" s="20"/>
      <c r="F21" s="20"/>
      <c r="G21" s="20"/>
      <c r="H21" s="20"/>
      <c r="I21" s="20"/>
      <c r="J21" s="20"/>
      <c r="K21" s="20"/>
      <c r="L21" s="20"/>
      <c r="M21" s="21"/>
      <c r="N21" s="13"/>
      <c r="O21" s="28"/>
      <c r="P21" s="28"/>
      <c r="Q21" s="28"/>
      <c r="R21" s="28"/>
      <c r="S21" s="28"/>
      <c r="T21" s="28"/>
      <c r="U21" s="28"/>
      <c r="V21" s="28"/>
      <c r="W21" s="29"/>
    </row>
    <row r="22" spans="1:23" x14ac:dyDescent="0.2">
      <c r="A22" s="39"/>
      <c r="B22" s="18"/>
      <c r="C22" s="11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32"/>
      <c r="Q22" s="32"/>
      <c r="R22" s="32"/>
      <c r="S22" s="32"/>
      <c r="T22" s="32"/>
      <c r="U22" s="32"/>
      <c r="V22" s="32"/>
      <c r="W22" s="33"/>
    </row>
    <row r="23" spans="1:23" x14ac:dyDescent="0.2">
      <c r="A23" s="39"/>
      <c r="B23" s="18"/>
      <c r="C23" s="11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32"/>
      <c r="R23" s="32"/>
      <c r="S23" s="32"/>
      <c r="T23" s="32"/>
      <c r="U23" s="32"/>
      <c r="V23" s="32"/>
      <c r="W23" s="33"/>
    </row>
    <row r="24" spans="1:23" x14ac:dyDescent="0.2">
      <c r="A24" s="39"/>
      <c r="B24" s="18"/>
      <c r="C24" s="11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32"/>
      <c r="S24" s="32"/>
      <c r="T24" s="32"/>
      <c r="U24" s="32"/>
      <c r="V24" s="32"/>
      <c r="W24" s="33"/>
    </row>
    <row r="25" spans="1:23" x14ac:dyDescent="0.2">
      <c r="A25" s="39"/>
      <c r="B25" s="18"/>
      <c r="C25" s="11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32"/>
      <c r="T25" s="32"/>
      <c r="U25" s="32"/>
      <c r="V25" s="32"/>
      <c r="W25" s="33"/>
    </row>
    <row r="26" spans="1:23" x14ac:dyDescent="0.2">
      <c r="A26" s="39"/>
      <c r="B26" s="18"/>
      <c r="C26" s="11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32"/>
      <c r="U26" s="32"/>
      <c r="V26" s="32"/>
      <c r="W26" s="33"/>
    </row>
    <row r="27" spans="1:23" x14ac:dyDescent="0.2">
      <c r="A27" s="39"/>
      <c r="B27" s="18"/>
      <c r="C27" s="11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32"/>
      <c r="V27" s="32"/>
      <c r="W27" s="33"/>
    </row>
    <row r="28" spans="1:23" x14ac:dyDescent="0.2">
      <c r="A28" s="39"/>
      <c r="B28" s="18"/>
      <c r="C28" s="11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32"/>
      <c r="W28" s="33"/>
    </row>
    <row r="29" spans="1:23" x14ac:dyDescent="0.2">
      <c r="A29" s="39"/>
      <c r="B29" s="18"/>
      <c r="C29" s="11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33"/>
    </row>
    <row r="30" spans="1:23" x14ac:dyDescent="0.2">
      <c r="A30" s="40"/>
      <c r="B30" s="19"/>
      <c r="C30" s="12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1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p_Dpo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2"/>
  <sheetViews>
    <sheetView workbookViewId="0"/>
  </sheetViews>
  <sheetFormatPr defaultColWidth="8.90625" defaultRowHeight="13" x14ac:dyDescent="0.2"/>
  <cols>
    <col min="1" max="1" width="7.6328125" customWidth="1"/>
    <col min="2" max="2" width="9.6328125" customWidth="1"/>
  </cols>
  <sheetData>
    <row r="1" spans="1:12" x14ac:dyDescent="0.2">
      <c r="A1" s="14" t="s">
        <v>82</v>
      </c>
    </row>
    <row r="2" spans="1:12" x14ac:dyDescent="0.2">
      <c r="A2" s="16"/>
    </row>
    <row r="3" spans="1:12" x14ac:dyDescent="0.2">
      <c r="A3" s="14" t="s">
        <v>83</v>
      </c>
    </row>
    <row r="5" spans="1:12" x14ac:dyDescent="0.2">
      <c r="A5" s="1" t="s">
        <v>0</v>
      </c>
      <c r="B5" s="15">
        <v>10</v>
      </c>
    </row>
    <row r="6" spans="1:12" x14ac:dyDescent="0.2">
      <c r="A6" s="1" t="s">
        <v>211</v>
      </c>
      <c r="B6" s="37">
        <v>0</v>
      </c>
    </row>
    <row r="8" spans="1:12" x14ac:dyDescent="0.2">
      <c r="A8" s="2"/>
      <c r="B8" s="2"/>
      <c r="C8" s="3" t="s">
        <v>223</v>
      </c>
      <c r="D8" s="4"/>
      <c r="E8" s="4"/>
      <c r="F8" s="4"/>
      <c r="G8" s="4"/>
      <c r="H8" s="4"/>
      <c r="I8" s="4"/>
      <c r="J8" s="4"/>
      <c r="K8" s="4"/>
      <c r="L8" s="5"/>
    </row>
    <row r="9" spans="1:12" x14ac:dyDescent="0.2">
      <c r="A9" s="6"/>
      <c r="B9" s="6"/>
      <c r="C9" s="7">
        <v>1</v>
      </c>
      <c r="D9" s="8">
        <v>2</v>
      </c>
      <c r="E9" s="8">
        <v>3</v>
      </c>
      <c r="F9" s="8">
        <v>4</v>
      </c>
      <c r="G9" s="8">
        <v>5</v>
      </c>
      <c r="H9" s="8">
        <v>6</v>
      </c>
      <c r="I9" s="8">
        <v>7</v>
      </c>
      <c r="J9" s="8">
        <v>8</v>
      </c>
      <c r="K9" s="8">
        <v>9</v>
      </c>
      <c r="L9" s="9">
        <v>10</v>
      </c>
    </row>
    <row r="10" spans="1:12" x14ac:dyDescent="0.2">
      <c r="A10" s="10">
        <v>1</v>
      </c>
      <c r="B10" s="41"/>
      <c r="C10" s="13">
        <v>0.2</v>
      </c>
      <c r="D10" s="28">
        <v>-0.11</v>
      </c>
      <c r="E10" s="28">
        <v>-0.32</v>
      </c>
      <c r="F10" s="28">
        <v>-0.8</v>
      </c>
      <c r="G10" s="28">
        <v>0.64</v>
      </c>
      <c r="H10" s="28">
        <v>0.19</v>
      </c>
      <c r="I10" s="28">
        <v>0.75</v>
      </c>
      <c r="J10" s="28">
        <v>-0.47</v>
      </c>
      <c r="K10" s="28">
        <v>0.65</v>
      </c>
      <c r="L10" s="29">
        <v>-0.87</v>
      </c>
    </row>
    <row r="11" spans="1:12" x14ac:dyDescent="0.2">
      <c r="A11" s="11">
        <v>2</v>
      </c>
      <c r="B11" s="42"/>
      <c r="C11" s="22">
        <v>-0.11</v>
      </c>
      <c r="D11" s="23">
        <v>-0.93</v>
      </c>
      <c r="E11" s="32">
        <v>0.81</v>
      </c>
      <c r="F11" s="32">
        <v>-0.92</v>
      </c>
      <c r="G11" s="32">
        <v>0.51</v>
      </c>
      <c r="H11" s="32">
        <v>0.2</v>
      </c>
      <c r="I11" s="32">
        <v>-0.91</v>
      </c>
      <c r="J11" s="32">
        <v>0.5</v>
      </c>
      <c r="K11" s="32">
        <v>-0.36</v>
      </c>
      <c r="L11" s="33">
        <v>-0.44</v>
      </c>
    </row>
    <row r="12" spans="1:12" x14ac:dyDescent="0.2">
      <c r="A12" s="11">
        <v>3</v>
      </c>
      <c r="B12" s="42"/>
      <c r="C12" s="22">
        <v>-0.32</v>
      </c>
      <c r="D12" s="23">
        <v>0.81</v>
      </c>
      <c r="E12" s="23">
        <v>0.37</v>
      </c>
      <c r="F12" s="32">
        <v>-0.28999999999999998</v>
      </c>
      <c r="G12" s="32">
        <v>0.71</v>
      </c>
      <c r="H12" s="32">
        <v>0.94</v>
      </c>
      <c r="I12" s="32">
        <v>0.3</v>
      </c>
      <c r="J12" s="32">
        <v>0.98</v>
      </c>
      <c r="K12" s="32">
        <v>-0.9</v>
      </c>
      <c r="L12" s="33">
        <v>-0.89</v>
      </c>
    </row>
    <row r="13" spans="1:12" x14ac:dyDescent="0.2">
      <c r="A13" s="11">
        <v>4</v>
      </c>
      <c r="B13" s="42"/>
      <c r="C13" s="22">
        <v>-0.8</v>
      </c>
      <c r="D13" s="23">
        <v>-0.92</v>
      </c>
      <c r="E13" s="23">
        <v>-0.28999999999999998</v>
      </c>
      <c r="F13" s="23">
        <v>0.86</v>
      </c>
      <c r="G13" s="32">
        <v>0.59</v>
      </c>
      <c r="H13" s="32">
        <v>0.79</v>
      </c>
      <c r="I13" s="32">
        <v>-0.66</v>
      </c>
      <c r="J13" s="32">
        <v>0.26</v>
      </c>
      <c r="K13" s="32">
        <v>0.31</v>
      </c>
      <c r="L13" s="33">
        <v>-0.71</v>
      </c>
    </row>
    <row r="14" spans="1:12" x14ac:dyDescent="0.2">
      <c r="A14" s="11">
        <v>5</v>
      </c>
      <c r="B14" s="42"/>
      <c r="C14" s="22">
        <v>0.64</v>
      </c>
      <c r="D14" s="23">
        <v>0.51</v>
      </c>
      <c r="E14" s="23">
        <v>0.71</v>
      </c>
      <c r="F14" s="23">
        <v>0.59</v>
      </c>
      <c r="G14" s="23">
        <v>-0.15</v>
      </c>
      <c r="H14" s="32">
        <v>-0.13</v>
      </c>
      <c r="I14" s="32">
        <v>0.08</v>
      </c>
      <c r="J14" s="32">
        <v>-0.39</v>
      </c>
      <c r="K14" s="32">
        <v>-0.75</v>
      </c>
      <c r="L14" s="33">
        <v>0.12</v>
      </c>
    </row>
    <row r="15" spans="1:12" x14ac:dyDescent="0.2">
      <c r="A15" s="11">
        <v>6</v>
      </c>
      <c r="B15" s="42"/>
      <c r="C15" s="22">
        <v>0.19</v>
      </c>
      <c r="D15" s="23">
        <v>0.2</v>
      </c>
      <c r="E15" s="23">
        <v>0.94</v>
      </c>
      <c r="F15" s="23">
        <v>0.79</v>
      </c>
      <c r="G15" s="23">
        <v>-0.13</v>
      </c>
      <c r="H15" s="23">
        <v>0.13</v>
      </c>
      <c r="I15" s="32">
        <v>0.69</v>
      </c>
      <c r="J15" s="32">
        <v>-0.13</v>
      </c>
      <c r="K15" s="32">
        <v>0.57999999999999996</v>
      </c>
      <c r="L15" s="33">
        <v>-0.11</v>
      </c>
    </row>
    <row r="16" spans="1:12" x14ac:dyDescent="0.2">
      <c r="A16" s="11">
        <v>7</v>
      </c>
      <c r="B16" s="42"/>
      <c r="C16" s="22">
        <v>0.75</v>
      </c>
      <c r="D16" s="23">
        <v>-0.91</v>
      </c>
      <c r="E16" s="23">
        <v>0.3</v>
      </c>
      <c r="F16" s="23">
        <v>-0.66</v>
      </c>
      <c r="G16" s="23">
        <v>0.08</v>
      </c>
      <c r="H16" s="23">
        <v>0.69</v>
      </c>
      <c r="I16" s="23">
        <v>-0.7</v>
      </c>
      <c r="J16" s="32">
        <v>0.51</v>
      </c>
      <c r="K16" s="32">
        <v>0.5</v>
      </c>
      <c r="L16" s="33">
        <v>0.69</v>
      </c>
    </row>
    <row r="17" spans="1:12" x14ac:dyDescent="0.2">
      <c r="A17" s="11">
        <v>8</v>
      </c>
      <c r="B17" s="42"/>
      <c r="C17" s="22">
        <v>-0.47</v>
      </c>
      <c r="D17" s="23">
        <v>0.5</v>
      </c>
      <c r="E17" s="23">
        <v>0.98</v>
      </c>
      <c r="F17" s="23">
        <v>0.26</v>
      </c>
      <c r="G17" s="23">
        <v>-0.39</v>
      </c>
      <c r="H17" s="23">
        <v>-0.13</v>
      </c>
      <c r="I17" s="23">
        <v>0.51</v>
      </c>
      <c r="J17" s="23">
        <v>-0.79</v>
      </c>
      <c r="K17" s="32">
        <v>-0.08</v>
      </c>
      <c r="L17" s="33">
        <v>-0.65</v>
      </c>
    </row>
    <row r="18" spans="1:12" x14ac:dyDescent="0.2">
      <c r="A18" s="11">
        <v>9</v>
      </c>
      <c r="B18" s="42"/>
      <c r="C18" s="22">
        <v>0.65</v>
      </c>
      <c r="D18" s="23">
        <v>-0.36</v>
      </c>
      <c r="E18" s="23">
        <v>-0.9</v>
      </c>
      <c r="F18" s="23">
        <v>0.31</v>
      </c>
      <c r="G18" s="23">
        <v>-0.75</v>
      </c>
      <c r="H18" s="23">
        <v>0.57999999999999996</v>
      </c>
      <c r="I18" s="23">
        <v>0.5</v>
      </c>
      <c r="J18" s="23">
        <v>-0.08</v>
      </c>
      <c r="K18" s="23">
        <v>-0.51</v>
      </c>
      <c r="L18" s="33">
        <v>0.09</v>
      </c>
    </row>
    <row r="19" spans="1:12" x14ac:dyDescent="0.2">
      <c r="A19" s="12">
        <v>10</v>
      </c>
      <c r="B19" s="43"/>
      <c r="C19" s="25">
        <v>-0.87</v>
      </c>
      <c r="D19" s="26">
        <v>-0.44</v>
      </c>
      <c r="E19" s="26">
        <v>-0.89</v>
      </c>
      <c r="F19" s="26">
        <v>-0.71</v>
      </c>
      <c r="G19" s="26">
        <v>0.12</v>
      </c>
      <c r="H19" s="26">
        <v>-0.11</v>
      </c>
      <c r="I19" s="26">
        <v>0.69</v>
      </c>
      <c r="J19" s="26">
        <v>-0.65</v>
      </c>
      <c r="K19" s="26">
        <v>0.09</v>
      </c>
      <c r="L19" s="27">
        <v>0.01</v>
      </c>
    </row>
    <row r="21" spans="1:12" x14ac:dyDescent="0.2">
      <c r="A21" s="2"/>
      <c r="B21" s="2" t="s">
        <v>84</v>
      </c>
      <c r="C21" s="3" t="s">
        <v>85</v>
      </c>
      <c r="D21" s="4"/>
      <c r="E21" s="4"/>
      <c r="F21" s="4"/>
      <c r="G21" s="4"/>
      <c r="H21" s="4"/>
      <c r="I21" s="4"/>
      <c r="J21" s="4"/>
      <c r="K21" s="4"/>
      <c r="L21" s="5"/>
    </row>
    <row r="22" spans="1:12" x14ac:dyDescent="0.2">
      <c r="A22" s="6"/>
      <c r="B22" s="6" t="s">
        <v>86</v>
      </c>
      <c r="C22" s="7">
        <v>1</v>
      </c>
      <c r="D22" s="8">
        <v>2</v>
      </c>
      <c r="E22" s="8">
        <v>3</v>
      </c>
      <c r="F22" s="8">
        <v>4</v>
      </c>
      <c r="G22" s="8">
        <v>5</v>
      </c>
      <c r="H22" s="8">
        <v>6</v>
      </c>
      <c r="I22" s="8">
        <v>7</v>
      </c>
      <c r="J22" s="8">
        <v>8</v>
      </c>
      <c r="K22" s="8">
        <v>9</v>
      </c>
      <c r="L22" s="9">
        <v>10</v>
      </c>
    </row>
    <row r="23" spans="1:12" x14ac:dyDescent="0.2">
      <c r="A23" s="10">
        <v>1</v>
      </c>
      <c r="B23" s="38">
        <v>-2.9828026240656831</v>
      </c>
      <c r="C23" s="30">
        <v>6.2665236620158993E-2</v>
      </c>
      <c r="D23" s="28">
        <v>0.51808816202215258</v>
      </c>
      <c r="E23" s="28">
        <v>0.17465548421471525</v>
      </c>
      <c r="F23" s="28">
        <v>-3.4813080419601655E-2</v>
      </c>
      <c r="G23" s="28">
        <v>6.5146379880659175E-2</v>
      </c>
      <c r="H23" s="28">
        <v>-3.8051188884313573E-2</v>
      </c>
      <c r="I23" s="28">
        <v>-0.51668639220939427</v>
      </c>
      <c r="J23" s="28">
        <v>0.56721625380425911</v>
      </c>
      <c r="K23" s="28">
        <v>0.30506643278597401</v>
      </c>
      <c r="L23" s="29">
        <v>-9.211219834173813E-2</v>
      </c>
    </row>
    <row r="24" spans="1:12" x14ac:dyDescent="0.2">
      <c r="A24" s="11">
        <v>2</v>
      </c>
      <c r="B24" s="39">
        <v>-2.4758980302513311</v>
      </c>
      <c r="C24" s="31">
        <v>0.52988828388119091</v>
      </c>
      <c r="D24" s="32">
        <v>-5.076249374077977E-2</v>
      </c>
      <c r="E24" s="32">
        <v>0.23032360982537003</v>
      </c>
      <c r="F24" s="32">
        <v>0.51396448852935772</v>
      </c>
      <c r="G24" s="32">
        <v>-0.45086082811527983</v>
      </c>
      <c r="H24" s="32">
        <v>-0.10956939040449261</v>
      </c>
      <c r="I24" s="32">
        <v>-6.1781521341041055E-2</v>
      </c>
      <c r="J24" s="32">
        <v>-0.14521674797813736</v>
      </c>
      <c r="K24" s="32">
        <v>0.2468117690468182</v>
      </c>
      <c r="L24" s="33">
        <v>0.3135781686716127</v>
      </c>
    </row>
    <row r="25" spans="1:12" x14ac:dyDescent="0.2">
      <c r="A25" s="11">
        <v>3</v>
      </c>
      <c r="B25" s="39">
        <v>-1.9265746396113441</v>
      </c>
      <c r="C25" s="31">
        <v>0.11147991117302149</v>
      </c>
      <c r="D25" s="32">
        <v>0.31199839280897379</v>
      </c>
      <c r="E25" s="32">
        <v>-0.54959006881805672</v>
      </c>
      <c r="F25" s="32">
        <v>-0.17731861394888102</v>
      </c>
      <c r="G25" s="32">
        <v>7.6043927371221523E-2</v>
      </c>
      <c r="H25" s="32">
        <v>9.6477115921272699E-2</v>
      </c>
      <c r="I25" s="32">
        <v>0.25312064325821187</v>
      </c>
      <c r="J25" s="32">
        <v>0.10352914235503675</v>
      </c>
      <c r="K25" s="32">
        <v>0.17322874158015467</v>
      </c>
      <c r="L25" s="33">
        <v>0.6609470815709021</v>
      </c>
    </row>
    <row r="26" spans="1:12" x14ac:dyDescent="0.2">
      <c r="A26" s="11">
        <v>4</v>
      </c>
      <c r="B26" s="39">
        <v>-1.2075565298267579</v>
      </c>
      <c r="C26" s="31">
        <v>0.37581128197343278</v>
      </c>
      <c r="D26" s="32">
        <v>0.23146100811771711</v>
      </c>
      <c r="E26" s="32">
        <v>6.082870711169E-2</v>
      </c>
      <c r="F26" s="32">
        <v>8.8842474581212694E-2</v>
      </c>
      <c r="G26" s="32">
        <v>0.15334278828911244</v>
      </c>
      <c r="H26" s="32">
        <v>0.14620604379618968</v>
      </c>
      <c r="I26" s="32">
        <v>-0.16056163778937002</v>
      </c>
      <c r="J26" s="32">
        <v>5.2312816863565939E-2</v>
      </c>
      <c r="K26" s="32">
        <v>-0.83773093224679895</v>
      </c>
      <c r="L26" s="33">
        <v>0.13564129909549297</v>
      </c>
    </row>
    <row r="27" spans="1:12" x14ac:dyDescent="0.2">
      <c r="A27" s="11">
        <v>5</v>
      </c>
      <c r="B27" s="39">
        <v>-0.40051657160476811</v>
      </c>
      <c r="C27" s="31">
        <v>-0.31849879095861006</v>
      </c>
      <c r="D27" s="32">
        <v>-0.29599791559794919</v>
      </c>
      <c r="E27" s="32">
        <v>-8.2716155310636807E-2</v>
      </c>
      <c r="F27" s="32">
        <v>0.34732945952709893</v>
      </c>
      <c r="G27" s="32">
        <v>0.10008220997494278</v>
      </c>
      <c r="H27" s="32">
        <v>0.66804799475850529</v>
      </c>
      <c r="I27" s="32">
        <v>-0.40423162287414233</v>
      </c>
      <c r="J27" s="32">
        <v>2.4998702453575571E-2</v>
      </c>
      <c r="K27" s="32">
        <v>5.963418447318989E-2</v>
      </c>
      <c r="L27" s="33">
        <v>0.24408008982069063</v>
      </c>
    </row>
    <row r="28" spans="1:12" x14ac:dyDescent="0.2">
      <c r="A28" s="11">
        <v>6</v>
      </c>
      <c r="B28" s="39">
        <v>0.52111161298786279</v>
      </c>
      <c r="C28" s="31">
        <v>-0.28459158362363007</v>
      </c>
      <c r="D28" s="32">
        <v>-7.4605968774255293E-2</v>
      </c>
      <c r="E28" s="32">
        <v>0.33287740583009601</v>
      </c>
      <c r="F28" s="32">
        <v>-0.13492325307947478</v>
      </c>
      <c r="G28" s="32">
        <v>-0.53474987448935329</v>
      </c>
      <c r="H28" s="32">
        <v>0.15545912085623681</v>
      </c>
      <c r="I28" s="32">
        <v>0.34399287665083733</v>
      </c>
      <c r="J28" s="32">
        <v>0.51989228543714183</v>
      </c>
      <c r="K28" s="32">
        <v>-0.20954352314129704</v>
      </c>
      <c r="L28" s="33">
        <v>0.20439517157289544</v>
      </c>
    </row>
    <row r="29" spans="1:12" x14ac:dyDescent="0.2">
      <c r="A29" s="11">
        <v>7</v>
      </c>
      <c r="B29" s="39">
        <v>0.83796058078335378</v>
      </c>
      <c r="C29" s="31">
        <v>0.47602619311909733</v>
      </c>
      <c r="D29" s="32">
        <v>-0.4064748480672295</v>
      </c>
      <c r="E29" s="32">
        <v>0.1242857834928715</v>
      </c>
      <c r="F29" s="32">
        <v>4.0441423844479914E-3</v>
      </c>
      <c r="G29" s="32">
        <v>0.46171200392972833</v>
      </c>
      <c r="H29" s="32">
        <v>0.19959757892493804</v>
      </c>
      <c r="I29" s="32">
        <v>0.33261599797150415</v>
      </c>
      <c r="J29" s="32">
        <v>0.43197021805877867</v>
      </c>
      <c r="K29" s="32">
        <v>0.17588215910696323</v>
      </c>
      <c r="L29" s="33">
        <v>-0.10738052390095132</v>
      </c>
    </row>
    <row r="30" spans="1:12" x14ac:dyDescent="0.2">
      <c r="A30" s="11">
        <v>8</v>
      </c>
      <c r="B30" s="39">
        <v>1.5913288515498665</v>
      </c>
      <c r="C30" s="31">
        <v>-0.37992049507786685</v>
      </c>
      <c r="D30" s="32">
        <v>0.19048587061018907</v>
      </c>
      <c r="E30" s="32">
        <v>0.35949021167603734</v>
      </c>
      <c r="F30" s="32">
        <v>0.46161588604211851</v>
      </c>
      <c r="G30" s="32">
        <v>0.47702572477701294</v>
      </c>
      <c r="H30" s="32">
        <v>-0.31134986577024915</v>
      </c>
      <c r="I30" s="32">
        <v>0.26035803934150842</v>
      </c>
      <c r="J30" s="32">
        <v>1.0768588108673444E-3</v>
      </c>
      <c r="K30" s="32">
        <v>-1.250183802664946E-2</v>
      </c>
      <c r="L30" s="33">
        <v>0.29089012829151017</v>
      </c>
    </row>
    <row r="31" spans="1:12" x14ac:dyDescent="0.2">
      <c r="A31" s="11">
        <v>9</v>
      </c>
      <c r="B31" s="39">
        <v>1.9308006869870864</v>
      </c>
      <c r="C31" s="31">
        <v>-8.5390479007301165E-2</v>
      </c>
      <c r="D31" s="32">
        <v>-7.8147423527701793E-2</v>
      </c>
      <c r="E31" s="32">
        <v>-0.5895465689202225</v>
      </c>
      <c r="F31" s="32">
        <v>0.5339639591516957</v>
      </c>
      <c r="G31" s="32">
        <v>-0.14337348747073944</v>
      </c>
      <c r="H31" s="32">
        <v>-0.2571201261492308</v>
      </c>
      <c r="I31" s="32">
        <v>7.0146766983085543E-2</v>
      </c>
      <c r="J31" s="32">
        <v>0.39343894521775147</v>
      </c>
      <c r="K31" s="32">
        <v>-0.15303300348439777</v>
      </c>
      <c r="L31" s="33">
        <v>-0.29003136179405586</v>
      </c>
    </row>
    <row r="32" spans="1:12" x14ac:dyDescent="0.2">
      <c r="A32" s="12">
        <v>10</v>
      </c>
      <c r="B32" s="40">
        <v>2.6021466630517143</v>
      </c>
      <c r="C32" s="34">
        <v>3.1043230161458782E-2</v>
      </c>
      <c r="D32" s="35">
        <v>0.52658914228740006</v>
      </c>
      <c r="E32" s="35">
        <v>2.8327837579735692E-2</v>
      </c>
      <c r="F32" s="35">
        <v>0.24130592436992357</v>
      </c>
      <c r="G32" s="35">
        <v>-7.6957278071147731E-2</v>
      </c>
      <c r="H32" s="35">
        <v>0.53152446915900242</v>
      </c>
      <c r="I32" s="35">
        <v>0.41748476901663961</v>
      </c>
      <c r="J32" s="35">
        <v>-0.17724657201713365</v>
      </c>
      <c r="K32" s="35">
        <v>0.11064563454926389</v>
      </c>
      <c r="L32" s="36">
        <v>-0.39536838202846425</v>
      </c>
    </row>
  </sheetData>
  <phoneticPr fontId="1"/>
  <dataValidations count="1">
    <dataValidation type="whole" operator="greaterThanOrEqual" allowBlank="1" showInputMessage="1" showErrorMessage="1" sqref="B5" xr:uid="{00000000-0002-0000-02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Dsye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ig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19"/>
  <sheetViews>
    <sheetView workbookViewId="0"/>
  </sheetViews>
  <sheetFormatPr defaultColWidth="8.90625" defaultRowHeight="13" x14ac:dyDescent="0.2"/>
  <cols>
    <col min="2" max="2" width="18" customWidth="1"/>
    <col min="3" max="3" width="9.08984375" customWidth="1"/>
    <col min="5" max="5" width="4.36328125" customWidth="1"/>
    <col min="6" max="6" width="4.453125" customWidth="1"/>
  </cols>
  <sheetData>
    <row r="1" spans="1:20" x14ac:dyDescent="0.2">
      <c r="A1" s="14" t="s">
        <v>123</v>
      </c>
    </row>
    <row r="2" spans="1:20" x14ac:dyDescent="0.2">
      <c r="A2" s="14"/>
    </row>
    <row r="3" spans="1:20" x14ac:dyDescent="0.2">
      <c r="A3" s="14"/>
      <c r="G3" t="s">
        <v>124</v>
      </c>
    </row>
    <row r="5" spans="1:20" ht="13.5" customHeight="1" x14ac:dyDescent="0.2">
      <c r="A5" s="44" t="s">
        <v>134</v>
      </c>
      <c r="B5" s="93"/>
      <c r="C5" s="92"/>
      <c r="D5" s="45" t="s">
        <v>133</v>
      </c>
      <c r="G5" s="97" t="s">
        <v>125</v>
      </c>
      <c r="H5" s="97" t="s">
        <v>126</v>
      </c>
      <c r="I5" s="97"/>
      <c r="J5" s="97"/>
      <c r="K5" s="99" t="s">
        <v>127</v>
      </c>
      <c r="L5" s="100"/>
      <c r="M5" s="100"/>
      <c r="N5" s="100"/>
      <c r="O5" s="100"/>
      <c r="P5" s="100"/>
      <c r="Q5" s="100"/>
      <c r="R5" s="100"/>
      <c r="S5" s="100"/>
      <c r="T5" s="101"/>
    </row>
    <row r="6" spans="1:20" x14ac:dyDescent="0.2">
      <c r="A6" s="46" t="s">
        <v>135</v>
      </c>
      <c r="B6" s="47" t="s">
        <v>136</v>
      </c>
      <c r="C6" s="47"/>
      <c r="D6" s="15">
        <v>16</v>
      </c>
      <c r="G6" s="102"/>
      <c r="H6" s="102"/>
      <c r="I6" s="102"/>
      <c r="J6" s="102"/>
      <c r="K6" s="48">
        <v>1</v>
      </c>
      <c r="L6" s="48">
        <v>2</v>
      </c>
      <c r="M6" s="48">
        <v>3</v>
      </c>
      <c r="N6" s="48">
        <v>4</v>
      </c>
      <c r="O6" s="48">
        <v>5</v>
      </c>
      <c r="P6" s="48">
        <v>6</v>
      </c>
      <c r="Q6" s="48">
        <v>7</v>
      </c>
      <c r="R6" s="48">
        <v>8</v>
      </c>
      <c r="S6" s="48">
        <v>9</v>
      </c>
      <c r="T6" s="48">
        <v>10</v>
      </c>
    </row>
    <row r="7" spans="1:20" x14ac:dyDescent="0.2">
      <c r="A7" s="46" t="s">
        <v>137</v>
      </c>
      <c r="B7" s="47" t="s">
        <v>138</v>
      </c>
      <c r="C7" s="47"/>
      <c r="D7" s="15">
        <v>7</v>
      </c>
      <c r="F7">
        <v>1</v>
      </c>
      <c r="G7" s="38">
        <v>-3482258.6345978207</v>
      </c>
      <c r="H7" s="38">
        <v>2920.8085468681161</v>
      </c>
      <c r="I7" s="38"/>
      <c r="J7" s="38"/>
      <c r="K7" s="38">
        <v>8531122.5674578361</v>
      </c>
      <c r="L7" s="38">
        <v>-166.72779982962678</v>
      </c>
      <c r="M7" s="38">
        <v>0.26187370814707644</v>
      </c>
      <c r="N7" s="38">
        <v>3.9118831719308713</v>
      </c>
      <c r="O7" s="38">
        <v>1.1285582053647858</v>
      </c>
      <c r="P7" s="38">
        <v>-0.88955086924034077</v>
      </c>
      <c r="Q7" s="38">
        <v>-4362.5870985219199</v>
      </c>
      <c r="R7" s="38"/>
      <c r="S7" s="38"/>
      <c r="T7" s="38"/>
    </row>
    <row r="8" spans="1:20" x14ac:dyDescent="0.2">
      <c r="F8">
        <v>2</v>
      </c>
      <c r="G8" s="39">
        <v>15.061872271549877</v>
      </c>
      <c r="H8" s="39">
        <v>0.278542860794393</v>
      </c>
      <c r="I8" s="39"/>
      <c r="J8" s="39"/>
      <c r="K8" s="39">
        <v>-166.72779982962678</v>
      </c>
      <c r="L8" s="39">
        <v>7.7586125299524591E-2</v>
      </c>
      <c r="M8" s="39">
        <v>-1.9872521036709914E-5</v>
      </c>
      <c r="N8" s="39">
        <v>-2.4766709667926802E-4</v>
      </c>
      <c r="O8" s="39">
        <v>-6.829119205816172E-5</v>
      </c>
      <c r="P8" s="39">
        <v>1.361607975149401E-4</v>
      </c>
      <c r="Q8" s="39">
        <v>7.7525524546738875E-2</v>
      </c>
      <c r="R8" s="39"/>
      <c r="S8" s="39"/>
      <c r="T8" s="39"/>
    </row>
    <row r="9" spans="1:20" x14ac:dyDescent="0.2">
      <c r="A9" s="44" t="s">
        <v>139</v>
      </c>
      <c r="B9" s="93"/>
      <c r="C9" s="93"/>
      <c r="D9" s="45" t="s">
        <v>133</v>
      </c>
      <c r="F9">
        <v>3</v>
      </c>
      <c r="G9" s="39">
        <v>-3.5819179292644422E-2</v>
      </c>
      <c r="H9" s="39">
        <v>1.0985914467511193E-4</v>
      </c>
      <c r="I9" s="39"/>
      <c r="J9" s="39"/>
      <c r="K9" s="39">
        <v>0.26187370814707644</v>
      </c>
      <c r="L9" s="39">
        <v>-1.9872521036709914E-5</v>
      </c>
      <c r="M9" s="39">
        <v>1.2069031668747175E-8</v>
      </c>
      <c r="N9" s="39">
        <v>1.6642954675324071E-7</v>
      </c>
      <c r="O9" s="39">
        <v>3.6184360043210331E-8</v>
      </c>
      <c r="P9" s="39">
        <v>-6.7880581440904829E-8</v>
      </c>
      <c r="Q9" s="39">
        <v>-1.3158719036246785E-4</v>
      </c>
      <c r="R9" s="39"/>
      <c r="S9" s="39"/>
      <c r="T9" s="39"/>
    </row>
    <row r="10" spans="1:20" x14ac:dyDescent="0.2">
      <c r="A10" s="46" t="s">
        <v>140</v>
      </c>
      <c r="B10" s="47"/>
      <c r="C10" s="47"/>
      <c r="D10" s="15">
        <v>0</v>
      </c>
      <c r="F10">
        <v>4</v>
      </c>
      <c r="G10" s="39">
        <v>-2.0202298038173723</v>
      </c>
      <c r="H10" s="39">
        <v>1.6020769410920871E-3</v>
      </c>
      <c r="I10" s="39"/>
      <c r="J10" s="39"/>
      <c r="K10" s="39">
        <v>3.9118831719308713</v>
      </c>
      <c r="L10" s="39">
        <v>-2.4766709667926802E-4</v>
      </c>
      <c r="M10" s="39">
        <v>1.6642954675324071E-7</v>
      </c>
      <c r="N10" s="39">
        <v>2.5666505251789788E-6</v>
      </c>
      <c r="O10" s="39">
        <v>6.9654140914000501E-7</v>
      </c>
      <c r="P10" s="39">
        <v>-9.0085830766635254E-7</v>
      </c>
      <c r="Q10" s="39">
        <v>-1.9726037064502042E-3</v>
      </c>
      <c r="R10" s="39"/>
      <c r="S10" s="39"/>
      <c r="T10" s="39"/>
    </row>
    <row r="11" spans="1:20" x14ac:dyDescent="0.2">
      <c r="A11" s="46" t="s">
        <v>141</v>
      </c>
      <c r="B11" s="47"/>
      <c r="C11" s="47"/>
      <c r="D11" s="15">
        <v>0</v>
      </c>
      <c r="F11">
        <v>5</v>
      </c>
      <c r="G11" s="49">
        <v>-1.0332268671736535</v>
      </c>
      <c r="H11" s="49">
        <v>7.0287452832114262E-4</v>
      </c>
      <c r="I11" s="49"/>
      <c r="J11" s="49"/>
      <c r="K11" s="49">
        <v>1.1285582053647858</v>
      </c>
      <c r="L11" s="49">
        <v>-6.829119205816172E-5</v>
      </c>
      <c r="M11" s="49">
        <v>3.6184360043210331E-8</v>
      </c>
      <c r="N11" s="49">
        <v>6.9654140914000501E-7</v>
      </c>
      <c r="O11" s="49">
        <v>4.9403260256266879E-7</v>
      </c>
      <c r="P11" s="49">
        <v>-9.8469143731082735E-8</v>
      </c>
      <c r="Q11" s="49">
        <v>-5.7692111215543608E-4</v>
      </c>
      <c r="R11" s="49"/>
      <c r="S11" s="49"/>
      <c r="T11" s="49"/>
    </row>
    <row r="12" spans="1:20" x14ac:dyDescent="0.2">
      <c r="A12" s="46" t="s">
        <v>162</v>
      </c>
      <c r="B12" s="47"/>
      <c r="C12" s="47"/>
      <c r="D12" s="37">
        <v>0</v>
      </c>
      <c r="F12">
        <v>6</v>
      </c>
      <c r="G12" s="38">
        <v>-5.1104105653698946E-2</v>
      </c>
      <c r="H12" s="38">
        <v>7.4157841300220037E-4</v>
      </c>
      <c r="I12" s="38"/>
      <c r="J12" s="38"/>
      <c r="K12" s="38">
        <v>-0.88955086924034077</v>
      </c>
      <c r="L12" s="38">
        <v>1.361607975149401E-4</v>
      </c>
      <c r="M12" s="38">
        <v>-6.7880581440904829E-8</v>
      </c>
      <c r="N12" s="38">
        <v>-9.0085830766635254E-7</v>
      </c>
      <c r="O12" s="38">
        <v>-9.8469143731082735E-8</v>
      </c>
      <c r="P12" s="38">
        <v>5.4993854263086206E-7</v>
      </c>
      <c r="Q12" s="38">
        <v>4.3007443410594402E-4</v>
      </c>
      <c r="R12" s="38"/>
      <c r="S12" s="38"/>
      <c r="T12" s="38"/>
    </row>
    <row r="13" spans="1:20" x14ac:dyDescent="0.2">
      <c r="F13">
        <v>7</v>
      </c>
      <c r="G13" s="39">
        <v>1829.1514646145852</v>
      </c>
      <c r="H13" s="39">
        <v>1.4940869702684845</v>
      </c>
      <c r="I13" s="39"/>
      <c r="J13" s="39"/>
      <c r="K13" s="39">
        <v>-4362.5870985219199</v>
      </c>
      <c r="L13" s="39">
        <v>7.7525524546738875E-2</v>
      </c>
      <c r="M13" s="39">
        <v>-1.3158719036246785E-4</v>
      </c>
      <c r="N13" s="39">
        <v>-1.9726037064502042E-3</v>
      </c>
      <c r="O13" s="39">
        <v>-5.7692111215543608E-4</v>
      </c>
      <c r="P13" s="39">
        <v>4.3007443410594402E-4</v>
      </c>
      <c r="Q13" s="39">
        <v>2.2322958747260593</v>
      </c>
      <c r="R13" s="39"/>
      <c r="S13" s="39"/>
      <c r="T13" s="39"/>
    </row>
    <row r="14" spans="1:20" x14ac:dyDescent="0.2">
      <c r="A14" s="44" t="s">
        <v>143</v>
      </c>
      <c r="B14" s="93"/>
      <c r="C14" s="93"/>
      <c r="D14" s="45" t="s">
        <v>133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2">
      <c r="A15" s="46" t="s">
        <v>144</v>
      </c>
      <c r="B15" s="47"/>
      <c r="C15" s="47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2">
      <c r="A16" s="46" t="s">
        <v>145</v>
      </c>
      <c r="B16" s="47"/>
      <c r="C16" s="47"/>
      <c r="D16" s="37">
        <v>7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 x14ac:dyDescent="0.2">
      <c r="A17" s="46" t="s">
        <v>146</v>
      </c>
      <c r="B17" s="47"/>
      <c r="C17" s="47" t="s">
        <v>212</v>
      </c>
      <c r="D17" s="37"/>
    </row>
    <row r="18" spans="1:20" ht="13.5" customHeight="1" x14ac:dyDescent="0.2">
      <c r="A18" s="46" t="s">
        <v>147</v>
      </c>
      <c r="B18" s="47"/>
      <c r="C18" s="47" t="s">
        <v>212</v>
      </c>
      <c r="D18" s="37"/>
      <c r="G18" s="97" t="s">
        <v>128</v>
      </c>
      <c r="H18" s="97" t="s">
        <v>129</v>
      </c>
      <c r="I18" s="97" t="s">
        <v>130</v>
      </c>
      <c r="J18" s="97" t="s">
        <v>131</v>
      </c>
      <c r="K18" s="99" t="s">
        <v>132</v>
      </c>
      <c r="L18" s="100"/>
      <c r="M18" s="100"/>
      <c r="N18" s="100"/>
      <c r="O18" s="100"/>
      <c r="P18" s="100"/>
      <c r="Q18" s="100"/>
      <c r="R18" s="100"/>
      <c r="S18" s="100"/>
      <c r="T18" s="101"/>
    </row>
    <row r="19" spans="1:20" x14ac:dyDescent="0.2">
      <c r="A19" s="50" t="s">
        <v>148</v>
      </c>
      <c r="B19" s="51"/>
      <c r="C19" s="51"/>
      <c r="D19" s="38">
        <v>836424.05550416908</v>
      </c>
      <c r="G19" s="98"/>
      <c r="H19" s="98"/>
      <c r="I19" s="98"/>
      <c r="J19" s="98"/>
      <c r="K19" s="45">
        <v>1</v>
      </c>
      <c r="L19" s="45">
        <v>2</v>
      </c>
      <c r="M19" s="45">
        <v>3</v>
      </c>
      <c r="N19" s="45">
        <v>4</v>
      </c>
      <c r="O19" s="45">
        <v>5</v>
      </c>
      <c r="P19" s="45">
        <v>6</v>
      </c>
      <c r="Q19" s="45">
        <v>7</v>
      </c>
      <c r="R19" s="45">
        <v>8</v>
      </c>
      <c r="S19" s="45">
        <v>9</v>
      </c>
      <c r="T19" s="45">
        <v>10</v>
      </c>
    </row>
    <row r="20" spans="1:20" x14ac:dyDescent="0.2">
      <c r="A20" s="52" t="s">
        <v>149</v>
      </c>
      <c r="B20" s="53"/>
      <c r="C20" s="53"/>
      <c r="D20" s="39">
        <v>92936.006167129904</v>
      </c>
      <c r="F20">
        <v>1</v>
      </c>
      <c r="G20" s="17">
        <v>60323</v>
      </c>
      <c r="H20" s="17">
        <v>1</v>
      </c>
      <c r="I20" s="38">
        <v>60055.659970237735</v>
      </c>
      <c r="J20" s="38">
        <v>-267.34002976226475</v>
      </c>
      <c r="K20" s="17">
        <v>1</v>
      </c>
      <c r="L20" s="17">
        <v>83</v>
      </c>
      <c r="M20" s="17">
        <v>234289</v>
      </c>
      <c r="N20" s="17">
        <v>2356</v>
      </c>
      <c r="O20" s="17">
        <v>1590</v>
      </c>
      <c r="P20" s="17">
        <v>107608</v>
      </c>
      <c r="Q20" s="17">
        <v>1947</v>
      </c>
      <c r="R20" s="17"/>
      <c r="S20" s="17"/>
      <c r="T20" s="17"/>
    </row>
    <row r="21" spans="1:20" x14ac:dyDescent="0.2">
      <c r="A21" s="52" t="s">
        <v>150</v>
      </c>
      <c r="B21" s="53"/>
      <c r="C21" s="53"/>
      <c r="D21" s="39">
        <v>304.85407356164671</v>
      </c>
      <c r="F21">
        <v>2</v>
      </c>
      <c r="G21" s="18">
        <v>61122</v>
      </c>
      <c r="H21" s="18">
        <v>1</v>
      </c>
      <c r="I21" s="39">
        <v>61216.013942396166</v>
      </c>
      <c r="J21" s="39">
        <v>94.013942396166385</v>
      </c>
      <c r="K21" s="18">
        <v>1</v>
      </c>
      <c r="L21" s="18">
        <v>88.5</v>
      </c>
      <c r="M21" s="18">
        <v>259426</v>
      </c>
      <c r="N21" s="18">
        <v>2325</v>
      </c>
      <c r="O21" s="18">
        <v>1456</v>
      </c>
      <c r="P21" s="18">
        <v>108632</v>
      </c>
      <c r="Q21" s="18">
        <v>1948</v>
      </c>
      <c r="R21" s="18"/>
      <c r="S21" s="18"/>
      <c r="T21" s="18"/>
    </row>
    <row r="22" spans="1:20" x14ac:dyDescent="0.2">
      <c r="A22" s="54" t="s">
        <v>151</v>
      </c>
      <c r="B22" s="55"/>
      <c r="C22" s="55"/>
      <c r="D22" s="40">
        <v>9</v>
      </c>
      <c r="F22">
        <v>3</v>
      </c>
      <c r="G22" s="18">
        <v>60171</v>
      </c>
      <c r="H22" s="18">
        <v>1</v>
      </c>
      <c r="I22" s="39">
        <v>60124.712832241246</v>
      </c>
      <c r="J22" s="39">
        <v>-46.28716775875364</v>
      </c>
      <c r="K22" s="18">
        <v>1</v>
      </c>
      <c r="L22" s="18">
        <v>88.2</v>
      </c>
      <c r="M22" s="18">
        <v>258054</v>
      </c>
      <c r="N22" s="18">
        <v>3682</v>
      </c>
      <c r="O22" s="18">
        <v>1616</v>
      </c>
      <c r="P22" s="18">
        <v>109773</v>
      </c>
      <c r="Q22" s="18">
        <v>1949</v>
      </c>
      <c r="R22" s="18"/>
      <c r="S22" s="18"/>
      <c r="T22" s="18"/>
    </row>
    <row r="23" spans="1:20" ht="13.5" customHeight="1" x14ac:dyDescent="0.2">
      <c r="A23" s="50" t="s">
        <v>152</v>
      </c>
      <c r="B23" s="51"/>
      <c r="C23" s="51"/>
      <c r="D23" s="38">
        <v>184172401.94452831</v>
      </c>
      <c r="F23">
        <v>4</v>
      </c>
      <c r="G23" s="18">
        <v>61187</v>
      </c>
      <c r="H23" s="18">
        <v>1</v>
      </c>
      <c r="I23" s="39">
        <v>61597.114621929322</v>
      </c>
      <c r="J23" s="39">
        <v>410.11462192932231</v>
      </c>
      <c r="K23" s="18">
        <v>1</v>
      </c>
      <c r="L23" s="18">
        <v>89.5</v>
      </c>
      <c r="M23" s="18">
        <v>284599</v>
      </c>
      <c r="N23" s="18">
        <v>3351</v>
      </c>
      <c r="O23" s="18">
        <v>1650</v>
      </c>
      <c r="P23" s="18">
        <v>110929</v>
      </c>
      <c r="Q23" s="18">
        <v>1950</v>
      </c>
      <c r="R23" s="18"/>
      <c r="S23" s="18"/>
      <c r="T23" s="18"/>
    </row>
    <row r="24" spans="1:20" x14ac:dyDescent="0.2">
      <c r="A24" s="52" t="s">
        <v>153</v>
      </c>
      <c r="B24" s="53"/>
      <c r="C24" s="56"/>
      <c r="D24" s="39">
        <v>30695400.324088052</v>
      </c>
      <c r="F24">
        <v>5</v>
      </c>
      <c r="G24" s="19">
        <v>63221</v>
      </c>
      <c r="H24" s="19">
        <v>1</v>
      </c>
      <c r="I24" s="40">
        <v>62911.285409238182</v>
      </c>
      <c r="J24" s="40">
        <v>-309.71459076181782</v>
      </c>
      <c r="K24" s="19">
        <v>1</v>
      </c>
      <c r="L24" s="19">
        <v>96.2</v>
      </c>
      <c r="M24" s="19">
        <v>328975</v>
      </c>
      <c r="N24" s="19">
        <v>2099</v>
      </c>
      <c r="O24" s="19">
        <v>3099</v>
      </c>
      <c r="P24" s="19">
        <v>112075</v>
      </c>
      <c r="Q24" s="19">
        <v>1951</v>
      </c>
      <c r="R24" s="19"/>
      <c r="S24" s="19"/>
      <c r="T24" s="19"/>
    </row>
    <row r="25" spans="1:20" x14ac:dyDescent="0.2">
      <c r="A25" s="54" t="s">
        <v>151</v>
      </c>
      <c r="B25" s="55"/>
      <c r="C25" s="55"/>
      <c r="D25" s="40">
        <v>6</v>
      </c>
      <c r="F25">
        <v>6</v>
      </c>
      <c r="G25" s="17">
        <v>63639</v>
      </c>
      <c r="H25" s="17">
        <v>1</v>
      </c>
      <c r="I25" s="38">
        <v>63888.311215328547</v>
      </c>
      <c r="J25" s="38">
        <v>249.31121532854741</v>
      </c>
      <c r="K25" s="17">
        <v>1</v>
      </c>
      <c r="L25" s="17">
        <v>98.1</v>
      </c>
      <c r="M25" s="17">
        <v>346999</v>
      </c>
      <c r="N25" s="17">
        <v>1932</v>
      </c>
      <c r="O25" s="17">
        <v>3594</v>
      </c>
      <c r="P25" s="17">
        <v>113270</v>
      </c>
      <c r="Q25" s="17">
        <v>1952</v>
      </c>
      <c r="R25" s="17"/>
      <c r="S25" s="17"/>
      <c r="T25" s="17"/>
    </row>
    <row r="26" spans="1:20" x14ac:dyDescent="0.2">
      <c r="A26" s="46" t="s">
        <v>154</v>
      </c>
      <c r="B26" s="47"/>
      <c r="C26" s="57"/>
      <c r="D26" s="37">
        <v>330.28533923533894</v>
      </c>
      <c r="F26">
        <v>7</v>
      </c>
      <c r="G26" s="18">
        <v>64989</v>
      </c>
      <c r="H26" s="18">
        <v>1</v>
      </c>
      <c r="I26" s="39">
        <v>65153.048956394261</v>
      </c>
      <c r="J26" s="39">
        <v>164.04895639426104</v>
      </c>
      <c r="K26" s="18">
        <v>1</v>
      </c>
      <c r="L26" s="18">
        <v>99</v>
      </c>
      <c r="M26" s="18">
        <v>365385</v>
      </c>
      <c r="N26" s="18">
        <v>1870</v>
      </c>
      <c r="O26" s="18">
        <v>3547</v>
      </c>
      <c r="P26" s="18">
        <v>115094</v>
      </c>
      <c r="Q26" s="18">
        <v>1953</v>
      </c>
      <c r="R26" s="18"/>
      <c r="S26" s="18"/>
      <c r="T26" s="18"/>
    </row>
    <row r="27" spans="1:20" x14ac:dyDescent="0.2">
      <c r="A27" s="46" t="s">
        <v>155</v>
      </c>
      <c r="B27" s="47"/>
      <c r="C27" s="57"/>
      <c r="D27" s="37">
        <v>99.547900457748057</v>
      </c>
      <c r="F27">
        <v>8</v>
      </c>
      <c r="G27" s="18">
        <v>63761</v>
      </c>
      <c r="H27" s="18">
        <v>1</v>
      </c>
      <c r="I27" s="39">
        <v>63774.180356865843</v>
      </c>
      <c r="J27" s="39">
        <v>13.180356865843351</v>
      </c>
      <c r="K27" s="18">
        <v>1</v>
      </c>
      <c r="L27" s="18">
        <v>100</v>
      </c>
      <c r="M27" s="18">
        <v>363112</v>
      </c>
      <c r="N27" s="18">
        <v>3578</v>
      </c>
      <c r="O27" s="18">
        <v>3350</v>
      </c>
      <c r="P27" s="18">
        <v>116219</v>
      </c>
      <c r="Q27" s="18">
        <v>1954</v>
      </c>
      <c r="R27" s="18"/>
      <c r="S27" s="18"/>
      <c r="T27" s="18"/>
    </row>
    <row r="28" spans="1:20" x14ac:dyDescent="0.2">
      <c r="F28">
        <v>9</v>
      </c>
      <c r="G28" s="18">
        <v>66019</v>
      </c>
      <c r="H28" s="18">
        <v>1</v>
      </c>
      <c r="I28" s="39">
        <v>66004.695227398202</v>
      </c>
      <c r="J28" s="39">
        <v>-14.304772601797595</v>
      </c>
      <c r="K28" s="18">
        <v>1</v>
      </c>
      <c r="L28" s="18">
        <v>101.2</v>
      </c>
      <c r="M28" s="18">
        <v>397469</v>
      </c>
      <c r="N28" s="18">
        <v>2904</v>
      </c>
      <c r="O28" s="18">
        <v>3048</v>
      </c>
      <c r="P28" s="18">
        <v>117388</v>
      </c>
      <c r="Q28" s="18">
        <v>1955</v>
      </c>
      <c r="R28" s="18"/>
      <c r="S28" s="18"/>
      <c r="T28" s="18"/>
    </row>
    <row r="29" spans="1:20" x14ac:dyDescent="0.2">
      <c r="A29" t="s">
        <v>214</v>
      </c>
      <c r="F29">
        <v>10</v>
      </c>
      <c r="G29" s="19">
        <v>67857</v>
      </c>
      <c r="H29" s="19">
        <v>1</v>
      </c>
      <c r="I29" s="40">
        <v>67401.605905447315</v>
      </c>
      <c r="J29" s="40">
        <v>-455.39409455268469</v>
      </c>
      <c r="K29" s="19">
        <v>1</v>
      </c>
      <c r="L29" s="19">
        <v>104.6</v>
      </c>
      <c r="M29" s="19">
        <v>419180</v>
      </c>
      <c r="N29" s="19">
        <v>2822</v>
      </c>
      <c r="O29" s="19">
        <v>2857</v>
      </c>
      <c r="P29" s="19">
        <v>118734</v>
      </c>
      <c r="Q29" s="19">
        <v>1956</v>
      </c>
      <c r="R29" s="19"/>
      <c r="S29" s="19"/>
      <c r="T29" s="19"/>
    </row>
    <row r="30" spans="1:20" x14ac:dyDescent="0.2">
      <c r="A30" t="s">
        <v>161</v>
      </c>
      <c r="F30">
        <v>11</v>
      </c>
      <c r="G30" s="17">
        <v>68169</v>
      </c>
      <c r="H30" s="17">
        <v>1</v>
      </c>
      <c r="I30" s="38">
        <v>68186.268927114288</v>
      </c>
      <c r="J30" s="38">
        <v>17.26892711428809</v>
      </c>
      <c r="K30" s="17">
        <v>1</v>
      </c>
      <c r="L30" s="17">
        <v>108.4</v>
      </c>
      <c r="M30" s="17">
        <v>442769</v>
      </c>
      <c r="N30" s="17">
        <v>2936</v>
      </c>
      <c r="O30" s="17">
        <v>2798</v>
      </c>
      <c r="P30" s="17">
        <v>120445</v>
      </c>
      <c r="Q30" s="17">
        <v>1957</v>
      </c>
      <c r="R30" s="17"/>
      <c r="S30" s="17"/>
      <c r="T30" s="17"/>
    </row>
    <row r="31" spans="1:20" x14ac:dyDescent="0.2">
      <c r="A31" t="s">
        <v>216</v>
      </c>
      <c r="F31">
        <v>12</v>
      </c>
      <c r="G31" s="18">
        <v>66513</v>
      </c>
      <c r="H31" s="18">
        <v>1</v>
      </c>
      <c r="I31" s="39">
        <v>66552.055042522261</v>
      </c>
      <c r="J31" s="39">
        <v>39.055042522260919</v>
      </c>
      <c r="K31" s="18">
        <v>1</v>
      </c>
      <c r="L31" s="18">
        <v>110.8</v>
      </c>
      <c r="M31" s="18">
        <v>444546</v>
      </c>
      <c r="N31" s="18">
        <v>4681</v>
      </c>
      <c r="O31" s="18">
        <v>2637</v>
      </c>
      <c r="P31" s="18">
        <v>121950</v>
      </c>
      <c r="Q31" s="18">
        <v>1958</v>
      </c>
      <c r="R31" s="18"/>
      <c r="S31" s="18"/>
      <c r="T31" s="18"/>
    </row>
    <row r="32" spans="1:20" x14ac:dyDescent="0.2">
      <c r="F32">
        <v>13</v>
      </c>
      <c r="G32" s="18">
        <v>68655</v>
      </c>
      <c r="H32" s="18">
        <v>1</v>
      </c>
      <c r="I32" s="39">
        <v>68810.549973594287</v>
      </c>
      <c r="J32" s="39">
        <v>155.54997359428671</v>
      </c>
      <c r="K32" s="18">
        <v>1</v>
      </c>
      <c r="L32" s="18">
        <v>112.6</v>
      </c>
      <c r="M32" s="18">
        <v>482704</v>
      </c>
      <c r="N32" s="18">
        <v>3813</v>
      </c>
      <c r="O32" s="18">
        <v>2552</v>
      </c>
      <c r="P32" s="18">
        <v>123366</v>
      </c>
      <c r="Q32" s="18">
        <v>1959</v>
      </c>
      <c r="R32" s="18"/>
      <c r="S32" s="18"/>
      <c r="T32" s="18"/>
    </row>
    <row r="33" spans="6:20" x14ac:dyDescent="0.2">
      <c r="F33">
        <v>14</v>
      </c>
      <c r="G33" s="18">
        <v>69564</v>
      </c>
      <c r="H33" s="18">
        <v>1</v>
      </c>
      <c r="I33" s="39">
        <v>69649.671308041376</v>
      </c>
      <c r="J33" s="39">
        <v>85.671308041375596</v>
      </c>
      <c r="K33" s="18">
        <v>1</v>
      </c>
      <c r="L33" s="18">
        <v>114.2</v>
      </c>
      <c r="M33" s="18">
        <v>502601</v>
      </c>
      <c r="N33" s="18">
        <v>3931</v>
      </c>
      <c r="O33" s="18">
        <v>2514</v>
      </c>
      <c r="P33" s="18">
        <v>125368</v>
      </c>
      <c r="Q33" s="18">
        <v>1960</v>
      </c>
      <c r="R33" s="18"/>
      <c r="S33" s="18"/>
      <c r="T33" s="18"/>
    </row>
    <row r="34" spans="6:20" x14ac:dyDescent="0.2">
      <c r="F34">
        <v>15</v>
      </c>
      <c r="G34" s="19">
        <v>69331</v>
      </c>
      <c r="H34" s="19">
        <v>1</v>
      </c>
      <c r="I34" s="40">
        <v>68989.068486037999</v>
      </c>
      <c r="J34" s="40">
        <v>-341.93151396200119</v>
      </c>
      <c r="K34" s="19">
        <v>1</v>
      </c>
      <c r="L34" s="19">
        <v>115.7</v>
      </c>
      <c r="M34" s="19">
        <v>518173</v>
      </c>
      <c r="N34" s="19">
        <v>4806</v>
      </c>
      <c r="O34" s="19">
        <v>2572</v>
      </c>
      <c r="P34" s="19">
        <v>127852</v>
      </c>
      <c r="Q34" s="19">
        <v>1961</v>
      </c>
      <c r="R34" s="19"/>
      <c r="S34" s="19"/>
      <c r="T34" s="19"/>
    </row>
    <row r="35" spans="6:20" x14ac:dyDescent="0.2">
      <c r="F35">
        <v>16</v>
      </c>
      <c r="G35" s="17">
        <v>70551</v>
      </c>
      <c r="H35" s="17">
        <v>1</v>
      </c>
      <c r="I35" s="38">
        <v>70757.757825191962</v>
      </c>
      <c r="J35" s="38">
        <v>206.75782519196218</v>
      </c>
      <c r="K35" s="17">
        <v>1</v>
      </c>
      <c r="L35" s="17">
        <v>116.9</v>
      </c>
      <c r="M35" s="17">
        <v>554894</v>
      </c>
      <c r="N35" s="17">
        <v>4007</v>
      </c>
      <c r="O35" s="17">
        <v>2827</v>
      </c>
      <c r="P35" s="17">
        <v>130081</v>
      </c>
      <c r="Q35" s="17">
        <v>1962</v>
      </c>
      <c r="R35" s="17"/>
      <c r="S35" s="17"/>
      <c r="T35" s="17"/>
    </row>
    <row r="36" spans="6:20" x14ac:dyDescent="0.2">
      <c r="F36">
        <v>17</v>
      </c>
      <c r="G36" s="18"/>
      <c r="H36" s="18"/>
      <c r="I36" s="39"/>
      <c r="J36" s="39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6:20" x14ac:dyDescent="0.2">
      <c r="F37">
        <v>18</v>
      </c>
      <c r="G37" s="18"/>
      <c r="H37" s="18"/>
      <c r="I37" s="39"/>
      <c r="J37" s="39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6:20" x14ac:dyDescent="0.2">
      <c r="F38">
        <v>19</v>
      </c>
      <c r="G38" s="18"/>
      <c r="H38" s="18"/>
      <c r="I38" s="39"/>
      <c r="J38" s="39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6:20" x14ac:dyDescent="0.2">
      <c r="F39">
        <v>20</v>
      </c>
      <c r="G39" s="19"/>
      <c r="H39" s="19"/>
      <c r="I39" s="40"/>
      <c r="J39" s="40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6:20" x14ac:dyDescent="0.2">
      <c r="F40">
        <v>21</v>
      </c>
      <c r="G40" s="17"/>
      <c r="H40" s="17"/>
      <c r="I40" s="38"/>
      <c r="J40" s="38"/>
      <c r="K40" s="17"/>
      <c r="L40" s="17"/>
      <c r="M40" s="17"/>
      <c r="N40" s="17"/>
      <c r="O40" s="17"/>
      <c r="P40" s="17"/>
      <c r="Q40" s="17"/>
      <c r="R40" s="17"/>
      <c r="S40" s="17"/>
      <c r="T40" s="17"/>
    </row>
    <row r="41" spans="6:20" x14ac:dyDescent="0.2">
      <c r="F41">
        <v>22</v>
      </c>
      <c r="G41" s="18"/>
      <c r="H41" s="18"/>
      <c r="I41" s="39"/>
      <c r="J41" s="39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6:20" x14ac:dyDescent="0.2">
      <c r="F42">
        <v>23</v>
      </c>
      <c r="G42" s="18"/>
      <c r="H42" s="18"/>
      <c r="I42" s="39"/>
      <c r="J42" s="39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6:20" x14ac:dyDescent="0.2">
      <c r="F43">
        <v>24</v>
      </c>
      <c r="G43" s="18"/>
      <c r="H43" s="18"/>
      <c r="I43" s="39"/>
      <c r="J43" s="39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6:20" x14ac:dyDescent="0.2">
      <c r="F44">
        <v>25</v>
      </c>
      <c r="G44" s="19"/>
      <c r="H44" s="19"/>
      <c r="I44" s="40"/>
      <c r="J44" s="40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6:20" x14ac:dyDescent="0.2">
      <c r="F45">
        <v>26</v>
      </c>
      <c r="G45" s="17"/>
      <c r="H45" s="17"/>
      <c r="I45" s="38"/>
      <c r="J45" s="38"/>
      <c r="K45" s="17"/>
      <c r="L45" s="17"/>
      <c r="M45" s="17"/>
      <c r="N45" s="17"/>
      <c r="O45" s="17"/>
      <c r="P45" s="17"/>
      <c r="Q45" s="17"/>
      <c r="R45" s="17"/>
      <c r="S45" s="17"/>
      <c r="T45" s="17"/>
    </row>
    <row r="46" spans="6:20" x14ac:dyDescent="0.2">
      <c r="F46">
        <v>27</v>
      </c>
      <c r="G46" s="18"/>
      <c r="H46" s="18"/>
      <c r="I46" s="39"/>
      <c r="J46" s="39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6:20" x14ac:dyDescent="0.2">
      <c r="F47">
        <v>28</v>
      </c>
      <c r="G47" s="18"/>
      <c r="H47" s="18"/>
      <c r="I47" s="39"/>
      <c r="J47" s="39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6:20" x14ac:dyDescent="0.2">
      <c r="F48">
        <v>29</v>
      </c>
      <c r="G48" s="18"/>
      <c r="H48" s="18"/>
      <c r="I48" s="39"/>
      <c r="J48" s="39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6:20" x14ac:dyDescent="0.2">
      <c r="F49">
        <v>30</v>
      </c>
      <c r="G49" s="19"/>
      <c r="H49" s="19"/>
      <c r="I49" s="40"/>
      <c r="J49" s="40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6:20" x14ac:dyDescent="0.2">
      <c r="F50">
        <v>31</v>
      </c>
      <c r="G50" s="17"/>
      <c r="H50" s="17"/>
      <c r="I50" s="38"/>
      <c r="J50" s="38"/>
      <c r="K50" s="17"/>
      <c r="L50" s="17"/>
      <c r="M50" s="17"/>
      <c r="N50" s="17"/>
      <c r="O50" s="17"/>
      <c r="P50" s="17"/>
      <c r="Q50" s="17"/>
      <c r="R50" s="17"/>
      <c r="S50" s="17"/>
      <c r="T50" s="17"/>
    </row>
    <row r="51" spans="6:20" x14ac:dyDescent="0.2">
      <c r="F51">
        <v>32</v>
      </c>
      <c r="G51" s="18"/>
      <c r="H51" s="18"/>
      <c r="I51" s="39"/>
      <c r="J51" s="39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6:20" x14ac:dyDescent="0.2">
      <c r="F52">
        <v>33</v>
      </c>
      <c r="G52" s="18"/>
      <c r="H52" s="18"/>
      <c r="I52" s="39"/>
      <c r="J52" s="39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6:20" x14ac:dyDescent="0.2">
      <c r="F53">
        <v>34</v>
      </c>
      <c r="G53" s="18"/>
      <c r="H53" s="18"/>
      <c r="I53" s="39"/>
      <c r="J53" s="39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6:20" x14ac:dyDescent="0.2">
      <c r="F54">
        <v>35</v>
      </c>
      <c r="G54" s="19"/>
      <c r="H54" s="19"/>
      <c r="I54" s="40"/>
      <c r="J54" s="40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6:20" x14ac:dyDescent="0.2">
      <c r="F55">
        <v>36</v>
      </c>
      <c r="G55" s="17"/>
      <c r="H55" s="17"/>
      <c r="I55" s="38"/>
      <c r="J55" s="38"/>
      <c r="K55" s="17"/>
      <c r="L55" s="17"/>
      <c r="M55" s="17"/>
      <c r="N55" s="17"/>
      <c r="O55" s="17"/>
      <c r="P55" s="17"/>
      <c r="Q55" s="17"/>
      <c r="R55" s="17"/>
      <c r="S55" s="17"/>
      <c r="T55" s="17"/>
    </row>
    <row r="56" spans="6:20" x14ac:dyDescent="0.2">
      <c r="F56">
        <v>37</v>
      </c>
      <c r="G56" s="18"/>
      <c r="H56" s="18"/>
      <c r="I56" s="39"/>
      <c r="J56" s="39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6:20" x14ac:dyDescent="0.2">
      <c r="F57">
        <v>38</v>
      </c>
      <c r="G57" s="18"/>
      <c r="H57" s="18"/>
      <c r="I57" s="39"/>
      <c r="J57" s="39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6:20" x14ac:dyDescent="0.2">
      <c r="F58">
        <v>39</v>
      </c>
      <c r="G58" s="18"/>
      <c r="H58" s="18"/>
      <c r="I58" s="39"/>
      <c r="J58" s="39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6:20" x14ac:dyDescent="0.2">
      <c r="F59">
        <v>40</v>
      </c>
      <c r="G59" s="19"/>
      <c r="H59" s="19"/>
      <c r="I59" s="40"/>
      <c r="J59" s="40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6:20" x14ac:dyDescent="0.2">
      <c r="F60">
        <v>41</v>
      </c>
      <c r="G60" s="17"/>
      <c r="H60" s="17"/>
      <c r="I60" s="38"/>
      <c r="J60" s="38"/>
      <c r="K60" s="17"/>
      <c r="L60" s="17"/>
      <c r="M60" s="17"/>
      <c r="N60" s="17"/>
      <c r="O60" s="17"/>
      <c r="P60" s="17"/>
      <c r="Q60" s="17"/>
      <c r="R60" s="17"/>
      <c r="S60" s="17"/>
      <c r="T60" s="17"/>
    </row>
    <row r="61" spans="6:20" x14ac:dyDescent="0.2">
      <c r="F61">
        <v>42</v>
      </c>
      <c r="G61" s="18"/>
      <c r="H61" s="18"/>
      <c r="I61" s="39"/>
      <c r="J61" s="39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6:20" x14ac:dyDescent="0.2">
      <c r="F62">
        <v>43</v>
      </c>
      <c r="G62" s="18"/>
      <c r="H62" s="18"/>
      <c r="I62" s="39"/>
      <c r="J62" s="39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6:20" x14ac:dyDescent="0.2">
      <c r="F63">
        <v>44</v>
      </c>
      <c r="G63" s="18"/>
      <c r="H63" s="18"/>
      <c r="I63" s="39"/>
      <c r="J63" s="39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6:20" x14ac:dyDescent="0.2">
      <c r="F64">
        <v>45</v>
      </c>
      <c r="G64" s="19"/>
      <c r="H64" s="19"/>
      <c r="I64" s="40"/>
      <c r="J64" s="40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6:20" x14ac:dyDescent="0.2">
      <c r="F65">
        <v>46</v>
      </c>
      <c r="G65" s="17"/>
      <c r="H65" s="17"/>
      <c r="I65" s="38"/>
      <c r="J65" s="38"/>
      <c r="K65" s="17"/>
      <c r="L65" s="17"/>
      <c r="M65" s="17"/>
      <c r="N65" s="17"/>
      <c r="O65" s="17"/>
      <c r="P65" s="17"/>
      <c r="Q65" s="17"/>
      <c r="R65" s="17"/>
      <c r="S65" s="17"/>
      <c r="T65" s="17"/>
    </row>
    <row r="66" spans="6:20" x14ac:dyDescent="0.2">
      <c r="F66">
        <v>47</v>
      </c>
      <c r="G66" s="18"/>
      <c r="H66" s="18"/>
      <c r="I66" s="39"/>
      <c r="J66" s="39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6:20" x14ac:dyDescent="0.2">
      <c r="F67">
        <v>48</v>
      </c>
      <c r="G67" s="18"/>
      <c r="H67" s="18"/>
      <c r="I67" s="39"/>
      <c r="J67" s="39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6:20" x14ac:dyDescent="0.2">
      <c r="F68">
        <v>49</v>
      </c>
      <c r="G68" s="18"/>
      <c r="H68" s="18"/>
      <c r="I68" s="39"/>
      <c r="J68" s="39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6:20" x14ac:dyDescent="0.2">
      <c r="F69">
        <v>50</v>
      </c>
      <c r="G69" s="19"/>
      <c r="H69" s="19"/>
      <c r="I69" s="40"/>
      <c r="J69" s="40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6:20" x14ac:dyDescent="0.2">
      <c r="F70">
        <v>51</v>
      </c>
      <c r="G70" s="17"/>
      <c r="H70" s="17"/>
      <c r="I70" s="38"/>
      <c r="J70" s="38"/>
      <c r="K70" s="17"/>
      <c r="L70" s="17"/>
      <c r="M70" s="17"/>
      <c r="N70" s="17"/>
      <c r="O70" s="17"/>
      <c r="P70" s="17"/>
      <c r="Q70" s="17"/>
      <c r="R70" s="17"/>
      <c r="S70" s="17"/>
      <c r="T70" s="17"/>
    </row>
    <row r="71" spans="6:20" x14ac:dyDescent="0.2">
      <c r="F71">
        <v>52</v>
      </c>
      <c r="G71" s="18"/>
      <c r="H71" s="18"/>
      <c r="I71" s="39"/>
      <c r="J71" s="39"/>
      <c r="K71" s="18"/>
      <c r="L71" s="18"/>
      <c r="M71" s="18"/>
      <c r="N71" s="18"/>
      <c r="O71" s="18"/>
      <c r="P71" s="18"/>
      <c r="Q71" s="18"/>
      <c r="R71" s="18"/>
      <c r="S71" s="18"/>
      <c r="T71" s="18"/>
    </row>
    <row r="72" spans="6:20" x14ac:dyDescent="0.2">
      <c r="F72">
        <v>53</v>
      </c>
      <c r="G72" s="18"/>
      <c r="H72" s="18"/>
      <c r="I72" s="39"/>
      <c r="J72" s="39"/>
      <c r="K72" s="18"/>
      <c r="L72" s="18"/>
      <c r="M72" s="18"/>
      <c r="N72" s="18"/>
      <c r="O72" s="18"/>
      <c r="P72" s="18"/>
      <c r="Q72" s="18"/>
      <c r="R72" s="18"/>
      <c r="S72" s="18"/>
      <c r="T72" s="18"/>
    </row>
    <row r="73" spans="6:20" x14ac:dyDescent="0.2">
      <c r="F73">
        <v>54</v>
      </c>
      <c r="G73" s="18"/>
      <c r="H73" s="18"/>
      <c r="I73" s="39"/>
      <c r="J73" s="39"/>
      <c r="K73" s="18"/>
      <c r="L73" s="18"/>
      <c r="M73" s="18"/>
      <c r="N73" s="18"/>
      <c r="O73" s="18"/>
      <c r="P73" s="18"/>
      <c r="Q73" s="18"/>
      <c r="R73" s="18"/>
      <c r="S73" s="18"/>
      <c r="T73" s="18"/>
    </row>
    <row r="74" spans="6:20" x14ac:dyDescent="0.2">
      <c r="F74">
        <v>55</v>
      </c>
      <c r="G74" s="19"/>
      <c r="H74" s="19"/>
      <c r="I74" s="40"/>
      <c r="J74" s="40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6:20" x14ac:dyDescent="0.2">
      <c r="F75">
        <v>56</v>
      </c>
      <c r="G75" s="17"/>
      <c r="H75" s="17"/>
      <c r="I75" s="38"/>
      <c r="J75" s="38"/>
      <c r="K75" s="17"/>
      <c r="L75" s="17"/>
      <c r="M75" s="17"/>
      <c r="N75" s="17"/>
      <c r="O75" s="17"/>
      <c r="P75" s="17"/>
      <c r="Q75" s="17"/>
      <c r="R75" s="17"/>
      <c r="S75" s="17"/>
      <c r="T75" s="17"/>
    </row>
    <row r="76" spans="6:20" x14ac:dyDescent="0.2">
      <c r="F76">
        <v>57</v>
      </c>
      <c r="G76" s="18"/>
      <c r="H76" s="18"/>
      <c r="I76" s="39"/>
      <c r="J76" s="39"/>
      <c r="K76" s="18"/>
      <c r="L76" s="18"/>
      <c r="M76" s="18"/>
      <c r="N76" s="18"/>
      <c r="O76" s="18"/>
      <c r="P76" s="18"/>
      <c r="Q76" s="18"/>
      <c r="R76" s="18"/>
      <c r="S76" s="18"/>
      <c r="T76" s="18"/>
    </row>
    <row r="77" spans="6:20" x14ac:dyDescent="0.2">
      <c r="F77">
        <v>58</v>
      </c>
      <c r="G77" s="18"/>
      <c r="H77" s="18"/>
      <c r="I77" s="39"/>
      <c r="J77" s="39"/>
      <c r="K77" s="18"/>
      <c r="L77" s="18"/>
      <c r="M77" s="18"/>
      <c r="N77" s="18"/>
      <c r="O77" s="18"/>
      <c r="P77" s="18"/>
      <c r="Q77" s="18"/>
      <c r="R77" s="18"/>
      <c r="S77" s="18"/>
      <c r="T77" s="18"/>
    </row>
    <row r="78" spans="6:20" x14ac:dyDescent="0.2">
      <c r="F78">
        <v>59</v>
      </c>
      <c r="G78" s="18"/>
      <c r="H78" s="18"/>
      <c r="I78" s="39"/>
      <c r="J78" s="39"/>
      <c r="K78" s="18"/>
      <c r="L78" s="18"/>
      <c r="M78" s="18"/>
      <c r="N78" s="18"/>
      <c r="O78" s="18"/>
      <c r="P78" s="18"/>
      <c r="Q78" s="18"/>
      <c r="R78" s="18"/>
      <c r="S78" s="18"/>
      <c r="T78" s="18"/>
    </row>
    <row r="79" spans="6:20" x14ac:dyDescent="0.2">
      <c r="F79">
        <v>60</v>
      </c>
      <c r="G79" s="19"/>
      <c r="H79" s="19"/>
      <c r="I79" s="40"/>
      <c r="J79" s="40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6:20" x14ac:dyDescent="0.2">
      <c r="F80">
        <v>61</v>
      </c>
      <c r="G80" s="17"/>
      <c r="H80" s="17"/>
      <c r="I80" s="38"/>
      <c r="J80" s="38"/>
      <c r="K80" s="17"/>
      <c r="L80" s="17"/>
      <c r="M80" s="17"/>
      <c r="N80" s="17"/>
      <c r="O80" s="17"/>
      <c r="P80" s="17"/>
      <c r="Q80" s="17"/>
      <c r="R80" s="17"/>
      <c r="S80" s="17"/>
      <c r="T80" s="17"/>
    </row>
    <row r="81" spans="6:20" x14ac:dyDescent="0.2">
      <c r="F81">
        <v>62</v>
      </c>
      <c r="G81" s="18"/>
      <c r="H81" s="18"/>
      <c r="I81" s="39"/>
      <c r="J81" s="39"/>
      <c r="K81" s="18"/>
      <c r="L81" s="18"/>
      <c r="M81" s="18"/>
      <c r="N81" s="18"/>
      <c r="O81" s="18"/>
      <c r="P81" s="18"/>
      <c r="Q81" s="18"/>
      <c r="R81" s="18"/>
      <c r="S81" s="18"/>
      <c r="T81" s="18"/>
    </row>
    <row r="82" spans="6:20" x14ac:dyDescent="0.2">
      <c r="F82">
        <v>63</v>
      </c>
      <c r="G82" s="18"/>
      <c r="H82" s="18"/>
      <c r="I82" s="39"/>
      <c r="J82" s="39"/>
      <c r="K82" s="18"/>
      <c r="L82" s="18"/>
      <c r="M82" s="18"/>
      <c r="N82" s="18"/>
      <c r="O82" s="18"/>
      <c r="P82" s="18"/>
      <c r="Q82" s="18"/>
      <c r="R82" s="18"/>
      <c r="S82" s="18"/>
      <c r="T82" s="18"/>
    </row>
    <row r="83" spans="6:20" x14ac:dyDescent="0.2">
      <c r="F83">
        <v>64</v>
      </c>
      <c r="G83" s="18"/>
      <c r="H83" s="18"/>
      <c r="I83" s="39"/>
      <c r="J83" s="39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6:20" x14ac:dyDescent="0.2">
      <c r="F84">
        <v>65</v>
      </c>
      <c r="G84" s="19"/>
      <c r="H84" s="19"/>
      <c r="I84" s="40"/>
      <c r="J84" s="40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6:20" x14ac:dyDescent="0.2">
      <c r="F85">
        <v>66</v>
      </c>
      <c r="G85" s="17"/>
      <c r="H85" s="17"/>
      <c r="I85" s="38"/>
      <c r="J85" s="38"/>
      <c r="K85" s="17"/>
      <c r="L85" s="17"/>
      <c r="M85" s="17"/>
      <c r="N85" s="17"/>
      <c r="O85" s="17"/>
      <c r="P85" s="17"/>
      <c r="Q85" s="17"/>
      <c r="R85" s="17"/>
      <c r="S85" s="17"/>
      <c r="T85" s="17"/>
    </row>
    <row r="86" spans="6:20" x14ac:dyDescent="0.2">
      <c r="F86">
        <v>67</v>
      </c>
      <c r="G86" s="18"/>
      <c r="H86" s="18"/>
      <c r="I86" s="39"/>
      <c r="J86" s="39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6:20" x14ac:dyDescent="0.2">
      <c r="F87">
        <v>68</v>
      </c>
      <c r="G87" s="18"/>
      <c r="H87" s="18"/>
      <c r="I87" s="39"/>
      <c r="J87" s="39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6:20" x14ac:dyDescent="0.2">
      <c r="F88">
        <v>69</v>
      </c>
      <c r="G88" s="18"/>
      <c r="H88" s="18"/>
      <c r="I88" s="39"/>
      <c r="J88" s="39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6:20" x14ac:dyDescent="0.2">
      <c r="F89">
        <v>70</v>
      </c>
      <c r="G89" s="19"/>
      <c r="H89" s="19"/>
      <c r="I89" s="40"/>
      <c r="J89" s="40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6:20" x14ac:dyDescent="0.2">
      <c r="F90">
        <v>71</v>
      </c>
      <c r="G90" s="17"/>
      <c r="H90" s="17"/>
      <c r="I90" s="38"/>
      <c r="J90" s="38"/>
      <c r="K90" s="17"/>
      <c r="L90" s="17"/>
      <c r="M90" s="17"/>
      <c r="N90" s="17"/>
      <c r="O90" s="17"/>
      <c r="P90" s="17"/>
      <c r="Q90" s="17"/>
      <c r="R90" s="17"/>
      <c r="S90" s="17"/>
      <c r="T90" s="17"/>
    </row>
    <row r="91" spans="6:20" x14ac:dyDescent="0.2">
      <c r="F91">
        <v>72</v>
      </c>
      <c r="G91" s="18"/>
      <c r="H91" s="18"/>
      <c r="I91" s="39"/>
      <c r="J91" s="39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6:20" x14ac:dyDescent="0.2">
      <c r="F92">
        <v>73</v>
      </c>
      <c r="G92" s="18"/>
      <c r="H92" s="18"/>
      <c r="I92" s="39"/>
      <c r="J92" s="39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6:20" x14ac:dyDescent="0.2">
      <c r="F93">
        <v>74</v>
      </c>
      <c r="G93" s="18"/>
      <c r="H93" s="18"/>
      <c r="I93" s="39"/>
      <c r="J93" s="39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6:20" x14ac:dyDescent="0.2">
      <c r="F94">
        <v>75</v>
      </c>
      <c r="G94" s="19"/>
      <c r="H94" s="19"/>
      <c r="I94" s="40"/>
      <c r="J94" s="40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6:20" x14ac:dyDescent="0.2">
      <c r="F95">
        <v>76</v>
      </c>
      <c r="G95" s="17"/>
      <c r="H95" s="17"/>
      <c r="I95" s="38"/>
      <c r="J95" s="38"/>
      <c r="K95" s="17"/>
      <c r="L95" s="17"/>
      <c r="M95" s="17"/>
      <c r="N95" s="17"/>
      <c r="O95" s="17"/>
      <c r="P95" s="17"/>
      <c r="Q95" s="17"/>
      <c r="R95" s="17"/>
      <c r="S95" s="17"/>
      <c r="T95" s="17"/>
    </row>
    <row r="96" spans="6:20" x14ac:dyDescent="0.2">
      <c r="F96">
        <v>77</v>
      </c>
      <c r="G96" s="18"/>
      <c r="H96" s="18"/>
      <c r="I96" s="39"/>
      <c r="J96" s="39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6:20" x14ac:dyDescent="0.2">
      <c r="F97">
        <v>78</v>
      </c>
      <c r="G97" s="18"/>
      <c r="H97" s="18"/>
      <c r="I97" s="39"/>
      <c r="J97" s="39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6:20" x14ac:dyDescent="0.2">
      <c r="F98">
        <v>79</v>
      </c>
      <c r="G98" s="18"/>
      <c r="H98" s="18"/>
      <c r="I98" s="39"/>
      <c r="J98" s="39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6:20" x14ac:dyDescent="0.2">
      <c r="F99">
        <v>80</v>
      </c>
      <c r="G99" s="19"/>
      <c r="H99" s="19"/>
      <c r="I99" s="40"/>
      <c r="J99" s="40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spans="6:20" x14ac:dyDescent="0.2">
      <c r="F100">
        <v>81</v>
      </c>
      <c r="G100" s="17"/>
      <c r="H100" s="17"/>
      <c r="I100" s="38"/>
      <c r="J100" s="38"/>
      <c r="K100" s="17"/>
      <c r="L100" s="17"/>
      <c r="M100" s="17"/>
      <c r="N100" s="17"/>
      <c r="O100" s="17"/>
      <c r="P100" s="17"/>
      <c r="Q100" s="17"/>
      <c r="R100" s="17"/>
      <c r="S100" s="17"/>
      <c r="T100" s="17"/>
    </row>
    <row r="101" spans="6:20" x14ac:dyDescent="0.2">
      <c r="F101">
        <v>82</v>
      </c>
      <c r="G101" s="18"/>
      <c r="H101" s="18"/>
      <c r="I101" s="39"/>
      <c r="J101" s="39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6:20" x14ac:dyDescent="0.2">
      <c r="F102">
        <v>83</v>
      </c>
      <c r="G102" s="18"/>
      <c r="H102" s="18"/>
      <c r="I102" s="39"/>
      <c r="J102" s="39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6:20" x14ac:dyDescent="0.2">
      <c r="F103">
        <v>84</v>
      </c>
      <c r="G103" s="18"/>
      <c r="H103" s="18"/>
      <c r="I103" s="39"/>
      <c r="J103" s="39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6:20" x14ac:dyDescent="0.2">
      <c r="F104">
        <v>85</v>
      </c>
      <c r="G104" s="19"/>
      <c r="H104" s="19"/>
      <c r="I104" s="40"/>
      <c r="J104" s="40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spans="6:20" x14ac:dyDescent="0.2">
      <c r="F105">
        <v>86</v>
      </c>
      <c r="G105" s="17"/>
      <c r="H105" s="17"/>
      <c r="I105" s="38"/>
      <c r="J105" s="38"/>
      <c r="K105" s="17"/>
      <c r="L105" s="17"/>
      <c r="M105" s="17"/>
      <c r="N105" s="17"/>
      <c r="O105" s="17"/>
      <c r="P105" s="17"/>
      <c r="Q105" s="17"/>
      <c r="R105" s="17"/>
      <c r="S105" s="17"/>
      <c r="T105" s="17"/>
    </row>
    <row r="106" spans="6:20" x14ac:dyDescent="0.2">
      <c r="F106">
        <v>87</v>
      </c>
      <c r="G106" s="18"/>
      <c r="H106" s="18"/>
      <c r="I106" s="39"/>
      <c r="J106" s="39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6:20" x14ac:dyDescent="0.2">
      <c r="F107">
        <v>88</v>
      </c>
      <c r="G107" s="18"/>
      <c r="H107" s="18"/>
      <c r="I107" s="39"/>
      <c r="J107" s="39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6:20" x14ac:dyDescent="0.2">
      <c r="F108">
        <v>89</v>
      </c>
      <c r="G108" s="18"/>
      <c r="H108" s="18"/>
      <c r="I108" s="39"/>
      <c r="J108" s="39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6:20" x14ac:dyDescent="0.2">
      <c r="F109">
        <v>90</v>
      </c>
      <c r="G109" s="19"/>
      <c r="H109" s="19"/>
      <c r="I109" s="40"/>
      <c r="J109" s="40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spans="6:20" x14ac:dyDescent="0.2">
      <c r="F110">
        <v>91</v>
      </c>
      <c r="G110" s="17"/>
      <c r="H110" s="17"/>
      <c r="I110" s="38"/>
      <c r="J110" s="38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6:20" x14ac:dyDescent="0.2">
      <c r="F111">
        <v>92</v>
      </c>
      <c r="G111" s="18"/>
      <c r="H111" s="18"/>
      <c r="I111" s="39"/>
      <c r="J111" s="39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6:20" x14ac:dyDescent="0.2">
      <c r="F112">
        <v>93</v>
      </c>
      <c r="G112" s="18"/>
      <c r="H112" s="18"/>
      <c r="I112" s="39"/>
      <c r="J112" s="39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6:20" x14ac:dyDescent="0.2">
      <c r="F113">
        <v>94</v>
      </c>
      <c r="G113" s="18"/>
      <c r="H113" s="18"/>
      <c r="I113" s="39"/>
      <c r="J113" s="39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6:20" x14ac:dyDescent="0.2">
      <c r="F114">
        <v>95</v>
      </c>
      <c r="G114" s="19"/>
      <c r="H114" s="19"/>
      <c r="I114" s="40"/>
      <c r="J114" s="40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spans="6:20" x14ac:dyDescent="0.2">
      <c r="F115">
        <v>96</v>
      </c>
      <c r="G115" s="17"/>
      <c r="H115" s="17"/>
      <c r="I115" s="38"/>
      <c r="J115" s="38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6:20" x14ac:dyDescent="0.2">
      <c r="F116">
        <v>97</v>
      </c>
      <c r="G116" s="18"/>
      <c r="H116" s="18"/>
      <c r="I116" s="39"/>
      <c r="J116" s="39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6:20" x14ac:dyDescent="0.2">
      <c r="F117">
        <v>98</v>
      </c>
      <c r="G117" s="18"/>
      <c r="H117" s="18"/>
      <c r="I117" s="39"/>
      <c r="J117" s="39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6:20" x14ac:dyDescent="0.2">
      <c r="F118">
        <v>99</v>
      </c>
      <c r="G118" s="18"/>
      <c r="H118" s="18"/>
      <c r="I118" s="39"/>
      <c r="J118" s="39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6:20" x14ac:dyDescent="0.2">
      <c r="F119">
        <v>100</v>
      </c>
      <c r="G119" s="19"/>
      <c r="H119" s="19"/>
      <c r="I119" s="40"/>
      <c r="J119" s="40"/>
      <c r="K119" s="19"/>
      <c r="L119" s="19"/>
      <c r="M119" s="19"/>
      <c r="N119" s="19"/>
      <c r="O119" s="19"/>
      <c r="P119" s="19"/>
      <c r="Q119" s="19"/>
      <c r="R119" s="19"/>
      <c r="S119" s="19"/>
      <c r="T119" s="19"/>
    </row>
  </sheetData>
  <mergeCells count="10">
    <mergeCell ref="G5:G6"/>
    <mergeCell ref="H5:H6"/>
    <mergeCell ref="I5:I6"/>
    <mergeCell ref="J5:J6"/>
    <mergeCell ref="K5:T5"/>
    <mergeCell ref="G18:G19"/>
    <mergeCell ref="H18:H19"/>
    <mergeCell ref="I18:I19"/>
    <mergeCell ref="J18:J19"/>
    <mergeCell ref="K18:T18"/>
  </mergeCells>
  <phoneticPr fontId="1"/>
  <dataValidations count="4">
    <dataValidation type="whole" allowBlank="1" showInputMessage="1" showErrorMessage="1" prompt="0: Dgels_x000a_1: Dgelsy_x000a_2: Dgelss" sqref="D12" xr:uid="{00000000-0002-0000-0300-000000000000}">
      <formula1>0</formula1>
      <formula2>0</formula2>
    </dataValidation>
    <dataValidation type="list" allowBlank="1" showInputMessage="1" showErrorMessage="1" prompt="0: 絶対精度_x000a_1: 相対精度" sqref="D11" xr:uid="{00000000-0002-0000-0300-000001000000}">
      <formula1>"0,1"</formula1>
    </dataValidation>
    <dataValidation type="whole" allowBlank="1" showInputMessage="1" showErrorMessage="1" sqref="D6" xr:uid="{00000000-0002-0000-0300-000002000000}">
      <formula1>2</formula1>
      <formula2>100</formula2>
    </dataValidation>
    <dataValidation type="whole" allowBlank="1" showInputMessage="1" showErrorMessage="1" sqref="D7" xr:uid="{00000000-0002-0000-0300-000003000000}">
      <formula1>2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sq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19"/>
  <sheetViews>
    <sheetView workbookViewId="0"/>
  </sheetViews>
  <sheetFormatPr defaultColWidth="8.90625" defaultRowHeight="13" x14ac:dyDescent="0.2"/>
  <cols>
    <col min="2" max="2" width="18" customWidth="1"/>
    <col min="3" max="3" width="9.08984375" customWidth="1"/>
    <col min="4" max="4" width="9" customWidth="1"/>
    <col min="5" max="5" width="6.6328125" customWidth="1"/>
    <col min="6" max="6" width="9" customWidth="1"/>
  </cols>
  <sheetData>
    <row r="1" spans="1:20" x14ac:dyDescent="0.2">
      <c r="A1" s="14" t="s">
        <v>156</v>
      </c>
      <c r="F1" t="s">
        <v>1</v>
      </c>
    </row>
    <row r="2" spans="1:20" x14ac:dyDescent="0.2">
      <c r="A2" s="14"/>
    </row>
    <row r="3" spans="1:20" x14ac:dyDescent="0.2">
      <c r="A3" s="14"/>
      <c r="G3" t="s">
        <v>157</v>
      </c>
    </row>
    <row r="5" spans="1:20" x14ac:dyDescent="0.2">
      <c r="A5" s="44" t="s">
        <v>134</v>
      </c>
      <c r="B5" s="93"/>
      <c r="C5" s="92"/>
      <c r="D5" s="45" t="s">
        <v>133</v>
      </c>
      <c r="G5" s="97" t="s">
        <v>158</v>
      </c>
      <c r="H5" s="97" t="s">
        <v>126</v>
      </c>
      <c r="I5" s="97"/>
      <c r="J5" s="97"/>
      <c r="K5" s="99" t="s">
        <v>159</v>
      </c>
      <c r="L5" s="100"/>
      <c r="M5" s="100"/>
      <c r="N5" s="100"/>
      <c r="O5" s="100"/>
      <c r="P5" s="100"/>
      <c r="Q5" s="100"/>
      <c r="R5" s="100"/>
      <c r="S5" s="100"/>
      <c r="T5" s="101"/>
    </row>
    <row r="6" spans="1:20" x14ac:dyDescent="0.2">
      <c r="A6" s="46" t="s">
        <v>135</v>
      </c>
      <c r="B6" s="47" t="s">
        <v>136</v>
      </c>
      <c r="C6" s="47"/>
      <c r="D6" s="15">
        <v>36</v>
      </c>
      <c r="G6" s="102"/>
      <c r="H6" s="102"/>
      <c r="I6" s="102"/>
      <c r="J6" s="102"/>
      <c r="K6" s="48">
        <v>1</v>
      </c>
      <c r="L6" s="48">
        <v>2</v>
      </c>
      <c r="M6" s="48">
        <v>3</v>
      </c>
      <c r="N6" s="48">
        <v>4</v>
      </c>
      <c r="O6" s="48">
        <v>5</v>
      </c>
      <c r="P6" s="48">
        <v>6</v>
      </c>
      <c r="Q6" s="48">
        <v>7</v>
      </c>
      <c r="R6" s="48">
        <v>8</v>
      </c>
      <c r="S6" s="48">
        <v>9</v>
      </c>
      <c r="T6" s="48">
        <v>10</v>
      </c>
    </row>
    <row r="7" spans="1:20" x14ac:dyDescent="0.2">
      <c r="A7" s="46" t="s">
        <v>137</v>
      </c>
      <c r="B7" s="47" t="s">
        <v>138</v>
      </c>
      <c r="C7" s="47"/>
      <c r="D7" s="15">
        <v>2</v>
      </c>
      <c r="F7">
        <v>1</v>
      </c>
      <c r="G7" s="38">
        <v>-0.26232307377396563</v>
      </c>
      <c r="H7" s="38">
        <v>0.232818234301164</v>
      </c>
      <c r="I7" s="38"/>
      <c r="J7" s="38"/>
      <c r="K7" s="38">
        <v>5.4204330223111698E-2</v>
      </c>
      <c r="L7" s="38">
        <v>-7.7432753631571984E-5</v>
      </c>
      <c r="M7" s="38"/>
      <c r="N7" s="38"/>
      <c r="O7" s="38"/>
      <c r="P7" s="38"/>
      <c r="Q7" s="38"/>
      <c r="R7" s="38"/>
      <c r="S7" s="38"/>
      <c r="T7" s="38"/>
    </row>
    <row r="8" spans="1:20" x14ac:dyDescent="0.2">
      <c r="F8">
        <v>2</v>
      </c>
      <c r="G8" s="39">
        <v>1.0021168180204538</v>
      </c>
      <c r="H8" s="39">
        <v>4.2979684819995805E-4</v>
      </c>
      <c r="I8" s="39"/>
      <c r="J8" s="39"/>
      <c r="K8" s="39">
        <v>-7.7432753631571984E-5</v>
      </c>
      <c r="L8" s="39">
        <v>1.847253307226178E-7</v>
      </c>
      <c r="M8" s="39"/>
      <c r="N8" s="39"/>
      <c r="O8" s="39"/>
      <c r="P8" s="39"/>
      <c r="Q8" s="39"/>
      <c r="R8" s="39"/>
      <c r="S8" s="39"/>
      <c r="T8" s="39"/>
    </row>
    <row r="9" spans="1:20" x14ac:dyDescent="0.2">
      <c r="A9" s="44" t="s">
        <v>139</v>
      </c>
      <c r="B9" s="93"/>
      <c r="C9" s="93"/>
      <c r="D9" s="45" t="s">
        <v>133</v>
      </c>
      <c r="F9">
        <v>3</v>
      </c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</row>
    <row r="10" spans="1:20" x14ac:dyDescent="0.2">
      <c r="A10" s="46" t="s">
        <v>140</v>
      </c>
      <c r="B10" s="47"/>
      <c r="C10" s="47"/>
      <c r="D10" s="15">
        <v>0</v>
      </c>
      <c r="F10">
        <v>4</v>
      </c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2">
      <c r="A11" s="46" t="s">
        <v>141</v>
      </c>
      <c r="B11" s="47"/>
      <c r="C11" s="47"/>
      <c r="D11" s="15">
        <v>1</v>
      </c>
      <c r="F11">
        <v>5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2">
      <c r="A12" s="46" t="s">
        <v>162</v>
      </c>
      <c r="B12" s="47"/>
      <c r="C12" s="47"/>
      <c r="D12" s="37">
        <v>0</v>
      </c>
      <c r="F12">
        <v>6</v>
      </c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</row>
    <row r="13" spans="1:20" x14ac:dyDescent="0.2">
      <c r="F13">
        <v>7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2">
      <c r="A14" s="44" t="s">
        <v>143</v>
      </c>
      <c r="B14" s="93"/>
      <c r="C14" s="93"/>
      <c r="D14" s="45" t="s">
        <v>133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2">
      <c r="A15" s="46" t="s">
        <v>144</v>
      </c>
      <c r="B15" s="47"/>
      <c r="C15" s="47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2">
      <c r="A16" s="46" t="s">
        <v>145</v>
      </c>
      <c r="B16" s="47"/>
      <c r="C16" s="47"/>
      <c r="D16" s="37">
        <v>2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10" x14ac:dyDescent="0.2">
      <c r="A17" s="46" t="s">
        <v>146</v>
      </c>
      <c r="B17" s="47"/>
      <c r="C17" s="47" t="s">
        <v>212</v>
      </c>
      <c r="D17" s="37"/>
    </row>
    <row r="18" spans="1:10" ht="13.5" customHeight="1" x14ac:dyDescent="0.2">
      <c r="A18" s="46" t="s">
        <v>147</v>
      </c>
      <c r="B18" s="47"/>
      <c r="C18" s="47" t="s">
        <v>212</v>
      </c>
      <c r="D18" s="37"/>
      <c r="F18" s="97" t="s">
        <v>160</v>
      </c>
      <c r="G18" s="97" t="s">
        <v>128</v>
      </c>
      <c r="H18" s="97" t="s">
        <v>129</v>
      </c>
      <c r="I18" s="97" t="s">
        <v>130</v>
      </c>
      <c r="J18" s="97" t="s">
        <v>131</v>
      </c>
    </row>
    <row r="19" spans="1:10" x14ac:dyDescent="0.2">
      <c r="A19" s="50" t="s">
        <v>148</v>
      </c>
      <c r="B19" s="51"/>
      <c r="C19" s="51"/>
      <c r="D19" s="38">
        <v>26.617398529425003</v>
      </c>
      <c r="F19" s="102"/>
      <c r="G19" s="102"/>
      <c r="H19" s="102"/>
      <c r="I19" s="102"/>
      <c r="J19" s="102"/>
    </row>
    <row r="20" spans="1:10" x14ac:dyDescent="0.2">
      <c r="A20" s="52" t="s">
        <v>149</v>
      </c>
      <c r="B20" s="53"/>
      <c r="C20" s="53"/>
      <c r="D20" s="39">
        <v>0.7828646626301472</v>
      </c>
      <c r="E20">
        <v>1</v>
      </c>
      <c r="F20" s="17">
        <v>0.2</v>
      </c>
      <c r="G20" s="17">
        <v>0.1</v>
      </c>
      <c r="H20" s="17">
        <v>1</v>
      </c>
      <c r="I20" s="38">
        <v>-6.1899710169874854E-2</v>
      </c>
      <c r="J20" s="38">
        <v>-0.16189971016987487</v>
      </c>
    </row>
    <row r="21" spans="1:10" x14ac:dyDescent="0.2">
      <c r="A21" s="52" t="s">
        <v>150</v>
      </c>
      <c r="B21" s="53"/>
      <c r="C21" s="53"/>
      <c r="D21" s="39">
        <v>0.88479639614441652</v>
      </c>
      <c r="E21">
        <v>2</v>
      </c>
      <c r="F21" s="18">
        <v>337.4</v>
      </c>
      <c r="G21" s="18">
        <v>338.8</v>
      </c>
      <c r="H21" s="18">
        <v>1</v>
      </c>
      <c r="I21" s="39">
        <v>337.85189132632712</v>
      </c>
      <c r="J21" s="39">
        <v>-0.9481086736728912</v>
      </c>
    </row>
    <row r="22" spans="1:10" x14ac:dyDescent="0.2">
      <c r="A22" s="54" t="s">
        <v>151</v>
      </c>
      <c r="B22" s="55"/>
      <c r="C22" s="55"/>
      <c r="D22" s="40">
        <v>34</v>
      </c>
      <c r="E22">
        <v>3</v>
      </c>
      <c r="F22" s="18">
        <v>118.2</v>
      </c>
      <c r="G22" s="18">
        <v>118.1</v>
      </c>
      <c r="H22" s="18">
        <v>1</v>
      </c>
      <c r="I22" s="39">
        <v>118.18788481624368</v>
      </c>
      <c r="J22" s="39">
        <v>8.7884816243686714E-2</v>
      </c>
    </row>
    <row r="23" spans="1:10" ht="13.5" customHeight="1" x14ac:dyDescent="0.2">
      <c r="A23" s="50" t="s">
        <v>152</v>
      </c>
      <c r="B23" s="51"/>
      <c r="C23" s="51"/>
      <c r="D23" s="38">
        <v>4255954.1323236879</v>
      </c>
      <c r="E23">
        <v>4</v>
      </c>
      <c r="F23" s="18">
        <v>884.6</v>
      </c>
      <c r="G23" s="18">
        <v>888</v>
      </c>
      <c r="H23" s="18">
        <v>1</v>
      </c>
      <c r="I23" s="39">
        <v>886.21021414711947</v>
      </c>
      <c r="J23" s="39">
        <v>-1.7897858528805273</v>
      </c>
    </row>
    <row r="24" spans="1:10" x14ac:dyDescent="0.2">
      <c r="A24" s="52" t="s">
        <v>153</v>
      </c>
      <c r="B24" s="53"/>
      <c r="C24" s="56"/>
      <c r="D24" s="39">
        <v>4255954.1323236879</v>
      </c>
      <c r="E24">
        <v>5</v>
      </c>
      <c r="F24" s="19">
        <v>10.1</v>
      </c>
      <c r="G24" s="19">
        <v>9.1999999999999993</v>
      </c>
      <c r="H24" s="19">
        <v>1</v>
      </c>
      <c r="I24" s="40">
        <v>9.8590567882326177</v>
      </c>
      <c r="J24" s="40">
        <v>0.65905678823261837</v>
      </c>
    </row>
    <row r="25" spans="1:10" x14ac:dyDescent="0.2">
      <c r="A25" s="54" t="s">
        <v>151</v>
      </c>
      <c r="B25" s="55"/>
      <c r="C25" s="55"/>
      <c r="D25" s="40">
        <v>1</v>
      </c>
      <c r="E25">
        <v>6</v>
      </c>
      <c r="F25" s="17">
        <v>226.5</v>
      </c>
      <c r="G25" s="17">
        <v>228.1</v>
      </c>
      <c r="H25" s="17">
        <v>1</v>
      </c>
      <c r="I25" s="38">
        <v>226.71713620785883</v>
      </c>
      <c r="J25" s="38">
        <v>-1.3828637921411655</v>
      </c>
    </row>
    <row r="26" spans="1:10" x14ac:dyDescent="0.2">
      <c r="A26" s="46" t="s">
        <v>154</v>
      </c>
      <c r="B26" s="47"/>
      <c r="C26" s="57"/>
      <c r="D26" s="37">
        <v>5436385.5407972997</v>
      </c>
      <c r="E26">
        <v>7</v>
      </c>
      <c r="F26" s="18">
        <v>666.3</v>
      </c>
      <c r="G26" s="18">
        <v>668.5</v>
      </c>
      <c r="H26" s="18">
        <v>1</v>
      </c>
      <c r="I26" s="39">
        <v>667.44811277325437</v>
      </c>
      <c r="J26" s="39">
        <v>-1.0518872267456345</v>
      </c>
    </row>
    <row r="27" spans="1:10" x14ac:dyDescent="0.2">
      <c r="A27" s="46" t="s">
        <v>155</v>
      </c>
      <c r="B27" s="47"/>
      <c r="C27" s="57"/>
      <c r="D27" s="37">
        <v>99.999374588371083</v>
      </c>
      <c r="E27">
        <v>8</v>
      </c>
      <c r="F27" s="18">
        <v>996.3</v>
      </c>
      <c r="G27" s="18">
        <v>998.5</v>
      </c>
      <c r="H27" s="18">
        <v>1</v>
      </c>
      <c r="I27" s="39">
        <v>998.14666272000409</v>
      </c>
      <c r="J27" s="39">
        <v>-0.35333727999591247</v>
      </c>
    </row>
    <row r="28" spans="1:10" x14ac:dyDescent="0.2">
      <c r="E28">
        <v>9</v>
      </c>
      <c r="F28" s="18">
        <v>448.6</v>
      </c>
      <c r="G28" s="18">
        <v>449.1</v>
      </c>
      <c r="H28" s="18">
        <v>1</v>
      </c>
      <c r="I28" s="39">
        <v>449.28728149020162</v>
      </c>
      <c r="J28" s="39">
        <v>0.1872814902015989</v>
      </c>
    </row>
    <row r="29" spans="1:10" x14ac:dyDescent="0.2">
      <c r="A29" t="s">
        <v>213</v>
      </c>
      <c r="E29">
        <v>10</v>
      </c>
      <c r="F29" s="19">
        <v>777</v>
      </c>
      <c r="G29" s="19">
        <v>778.9</v>
      </c>
      <c r="H29" s="19">
        <v>1</v>
      </c>
      <c r="I29" s="40">
        <v>778.38244452811864</v>
      </c>
      <c r="J29" s="40">
        <v>-0.51755547188133733</v>
      </c>
    </row>
    <row r="30" spans="1:10" x14ac:dyDescent="0.2">
      <c r="A30" t="s">
        <v>217</v>
      </c>
      <c r="E30">
        <v>11</v>
      </c>
      <c r="F30" s="17">
        <v>558.20000000000005</v>
      </c>
      <c r="G30" s="17">
        <v>559.20000000000005</v>
      </c>
      <c r="H30" s="17">
        <v>1</v>
      </c>
      <c r="I30" s="38">
        <v>559.11928474524336</v>
      </c>
      <c r="J30" s="38">
        <v>-8.0715254756682953E-2</v>
      </c>
    </row>
    <row r="31" spans="1:10" x14ac:dyDescent="0.2">
      <c r="A31" t="s">
        <v>215</v>
      </c>
      <c r="E31">
        <v>12</v>
      </c>
      <c r="F31" s="18">
        <v>0.4</v>
      </c>
      <c r="G31" s="18">
        <v>0.3</v>
      </c>
      <c r="H31" s="18">
        <v>1</v>
      </c>
      <c r="I31" s="39">
        <v>0.13852365343421591</v>
      </c>
      <c r="J31" s="39">
        <v>-0.16147634656578408</v>
      </c>
    </row>
    <row r="32" spans="1:10" x14ac:dyDescent="0.2">
      <c r="E32">
        <v>13</v>
      </c>
      <c r="F32" s="18">
        <v>0.6</v>
      </c>
      <c r="G32" s="18">
        <v>0.1</v>
      </c>
      <c r="H32" s="18">
        <v>1</v>
      </c>
      <c r="I32" s="39">
        <v>0.33894701703830665</v>
      </c>
      <c r="J32" s="39">
        <v>0.23894701703830665</v>
      </c>
    </row>
    <row r="33" spans="5:10" x14ac:dyDescent="0.2">
      <c r="E33">
        <v>14</v>
      </c>
      <c r="F33" s="18">
        <v>775.5</v>
      </c>
      <c r="G33" s="18">
        <v>778.1</v>
      </c>
      <c r="H33" s="18">
        <v>1</v>
      </c>
      <c r="I33" s="39">
        <v>776.87926930108802</v>
      </c>
      <c r="J33" s="39">
        <v>-1.220730698912007</v>
      </c>
    </row>
    <row r="34" spans="5:10" x14ac:dyDescent="0.2">
      <c r="E34">
        <v>15</v>
      </c>
      <c r="F34" s="19">
        <v>666.9</v>
      </c>
      <c r="G34" s="19">
        <v>668.8</v>
      </c>
      <c r="H34" s="19">
        <v>1</v>
      </c>
      <c r="I34" s="40">
        <v>668.04938286406662</v>
      </c>
      <c r="J34" s="40">
        <v>-0.75061713593333934</v>
      </c>
    </row>
    <row r="35" spans="5:10" x14ac:dyDescent="0.2">
      <c r="E35">
        <v>16</v>
      </c>
      <c r="F35" s="17">
        <v>338</v>
      </c>
      <c r="G35" s="17">
        <v>339.3</v>
      </c>
      <c r="H35" s="17">
        <v>1</v>
      </c>
      <c r="I35" s="38">
        <v>338.45316141713943</v>
      </c>
      <c r="J35" s="38">
        <v>-0.84683858286058467</v>
      </c>
    </row>
    <row r="36" spans="5:10" x14ac:dyDescent="0.2">
      <c r="E36">
        <v>17</v>
      </c>
      <c r="F36" s="18">
        <v>447.5</v>
      </c>
      <c r="G36" s="18">
        <v>448.9</v>
      </c>
      <c r="H36" s="18">
        <v>1</v>
      </c>
      <c r="I36" s="39">
        <v>448.18495299037914</v>
      </c>
      <c r="J36" s="39">
        <v>-0.71504700962083234</v>
      </c>
    </row>
    <row r="37" spans="5:10" x14ac:dyDescent="0.2">
      <c r="E37">
        <v>18</v>
      </c>
      <c r="F37" s="18">
        <v>11.6</v>
      </c>
      <c r="G37" s="18">
        <v>10.8</v>
      </c>
      <c r="H37" s="18">
        <v>1</v>
      </c>
      <c r="I37" s="39">
        <v>11.362232015263299</v>
      </c>
      <c r="J37" s="39">
        <v>0.56223201526329802</v>
      </c>
    </row>
    <row r="38" spans="5:10" x14ac:dyDescent="0.2">
      <c r="E38">
        <v>19</v>
      </c>
      <c r="F38" s="18">
        <v>556</v>
      </c>
      <c r="G38" s="18">
        <v>557.70000000000005</v>
      </c>
      <c r="H38" s="18">
        <v>1</v>
      </c>
      <c r="I38" s="39">
        <v>556.91462774559841</v>
      </c>
      <c r="J38" s="39">
        <v>-0.78537225440163638</v>
      </c>
    </row>
    <row r="39" spans="5:10" x14ac:dyDescent="0.2">
      <c r="E39">
        <v>20</v>
      </c>
      <c r="F39" s="19">
        <v>228.1</v>
      </c>
      <c r="G39" s="19">
        <v>228.3</v>
      </c>
      <c r="H39" s="19">
        <v>1</v>
      </c>
      <c r="I39" s="40">
        <v>228.32052311669153</v>
      </c>
      <c r="J39" s="40">
        <v>2.0523116691521182E-2</v>
      </c>
    </row>
    <row r="40" spans="5:10" x14ac:dyDescent="0.2">
      <c r="E40">
        <v>21</v>
      </c>
      <c r="F40" s="17">
        <v>995.8</v>
      </c>
      <c r="G40" s="17">
        <v>998</v>
      </c>
      <c r="H40" s="17">
        <v>1</v>
      </c>
      <c r="I40" s="38">
        <v>997.64560431099392</v>
      </c>
      <c r="J40" s="38">
        <v>-0.35439568900608265</v>
      </c>
    </row>
    <row r="41" spans="5:10" x14ac:dyDescent="0.2">
      <c r="E41">
        <v>22</v>
      </c>
      <c r="F41" s="18">
        <v>887.6</v>
      </c>
      <c r="G41" s="18">
        <v>888.8</v>
      </c>
      <c r="H41" s="18">
        <v>1</v>
      </c>
      <c r="I41" s="39">
        <v>889.21656460118083</v>
      </c>
      <c r="J41" s="39">
        <v>0.41656460118088035</v>
      </c>
    </row>
    <row r="42" spans="5:10" x14ac:dyDescent="0.2">
      <c r="E42">
        <v>23</v>
      </c>
      <c r="F42" s="18">
        <v>120.2</v>
      </c>
      <c r="G42" s="18">
        <v>119.6</v>
      </c>
      <c r="H42" s="18">
        <v>1</v>
      </c>
      <c r="I42" s="39">
        <v>120.19211845228459</v>
      </c>
      <c r="J42" s="39">
        <v>0.59211845228459481</v>
      </c>
    </row>
    <row r="43" spans="5:10" x14ac:dyDescent="0.2">
      <c r="E43">
        <v>24</v>
      </c>
      <c r="F43" s="18">
        <v>0.3</v>
      </c>
      <c r="G43" s="18">
        <v>0.3</v>
      </c>
      <c r="H43" s="18">
        <v>1</v>
      </c>
      <c r="I43" s="39">
        <v>3.8311971632170504E-2</v>
      </c>
      <c r="J43" s="39">
        <v>-0.26168802836782951</v>
      </c>
    </row>
    <row r="44" spans="5:10" x14ac:dyDescent="0.2">
      <c r="E44">
        <v>25</v>
      </c>
      <c r="F44" s="19">
        <v>0.3</v>
      </c>
      <c r="G44" s="19">
        <v>0.6</v>
      </c>
      <c r="H44" s="19">
        <v>1</v>
      </c>
      <c r="I44" s="40">
        <v>3.8311971632170504E-2</v>
      </c>
      <c r="J44" s="40">
        <v>-0.56168802836782949</v>
      </c>
    </row>
    <row r="45" spans="5:10" x14ac:dyDescent="0.2">
      <c r="E45">
        <v>26</v>
      </c>
      <c r="F45" s="17">
        <v>556.79999999999995</v>
      </c>
      <c r="G45" s="17">
        <v>557.6</v>
      </c>
      <c r="H45" s="17">
        <v>1</v>
      </c>
      <c r="I45" s="38">
        <v>557.7163212000147</v>
      </c>
      <c r="J45" s="38">
        <v>0.11632120001468138</v>
      </c>
    </row>
    <row r="46" spans="5:10" x14ac:dyDescent="0.2">
      <c r="E46">
        <v>27</v>
      </c>
      <c r="F46" s="18">
        <v>339.1</v>
      </c>
      <c r="G46" s="18">
        <v>339.3</v>
      </c>
      <c r="H46" s="18">
        <v>1</v>
      </c>
      <c r="I46" s="39">
        <v>339.55548991696196</v>
      </c>
      <c r="J46" s="39">
        <v>0.25548991696194889</v>
      </c>
    </row>
    <row r="47" spans="5:10" x14ac:dyDescent="0.2">
      <c r="E47">
        <v>28</v>
      </c>
      <c r="F47" s="18">
        <v>887.2</v>
      </c>
      <c r="G47" s="18">
        <v>888</v>
      </c>
      <c r="H47" s="18">
        <v>1</v>
      </c>
      <c r="I47" s="39">
        <v>888.81571787397274</v>
      </c>
      <c r="J47" s="39">
        <v>0.8157178739727442</v>
      </c>
    </row>
    <row r="48" spans="5:10" x14ac:dyDescent="0.2">
      <c r="E48">
        <v>29</v>
      </c>
      <c r="F48" s="18">
        <v>999</v>
      </c>
      <c r="G48" s="18">
        <v>998.5</v>
      </c>
      <c r="H48" s="18">
        <v>1</v>
      </c>
      <c r="I48" s="39">
        <v>1000.8523781286594</v>
      </c>
      <c r="J48" s="39">
        <v>2.3523781286594385</v>
      </c>
    </row>
    <row r="49" spans="5:10" x14ac:dyDescent="0.2">
      <c r="E49">
        <v>30</v>
      </c>
      <c r="F49" s="19">
        <v>779</v>
      </c>
      <c r="G49" s="19">
        <v>778.9</v>
      </c>
      <c r="H49" s="19">
        <v>1</v>
      </c>
      <c r="I49" s="40">
        <v>780.38667816415955</v>
      </c>
      <c r="J49" s="40">
        <v>1.4866781641595708</v>
      </c>
    </row>
    <row r="50" spans="5:10" x14ac:dyDescent="0.2">
      <c r="E50">
        <v>31</v>
      </c>
      <c r="F50" s="17">
        <v>11.1</v>
      </c>
      <c r="G50" s="17">
        <v>10.199999999999999</v>
      </c>
      <c r="H50" s="17">
        <v>1</v>
      </c>
      <c r="I50" s="38">
        <v>10.861173606253072</v>
      </c>
      <c r="J50" s="38">
        <v>0.66117360625307242</v>
      </c>
    </row>
    <row r="51" spans="5:10" x14ac:dyDescent="0.2">
      <c r="E51">
        <v>32</v>
      </c>
      <c r="F51" s="18">
        <v>118.3</v>
      </c>
      <c r="G51" s="18">
        <v>117.6</v>
      </c>
      <c r="H51" s="18">
        <v>1</v>
      </c>
      <c r="I51" s="39">
        <v>118.28809649804572</v>
      </c>
      <c r="J51" s="39">
        <v>0.68809649804572359</v>
      </c>
    </row>
    <row r="52" spans="5:10" x14ac:dyDescent="0.2">
      <c r="E52">
        <v>33</v>
      </c>
      <c r="F52" s="18">
        <v>229.2</v>
      </c>
      <c r="G52" s="18">
        <v>228.9</v>
      </c>
      <c r="H52" s="18">
        <v>1</v>
      </c>
      <c r="I52" s="39">
        <v>229.42285161651404</v>
      </c>
      <c r="J52" s="39">
        <v>0.522851616514032</v>
      </c>
    </row>
    <row r="53" spans="5:10" x14ac:dyDescent="0.2">
      <c r="E53">
        <v>34</v>
      </c>
      <c r="F53" s="18">
        <v>669.1</v>
      </c>
      <c r="G53" s="18">
        <v>668.4</v>
      </c>
      <c r="H53" s="18">
        <v>1</v>
      </c>
      <c r="I53" s="39">
        <v>670.25403986371168</v>
      </c>
      <c r="J53" s="39">
        <v>1.854039863711705</v>
      </c>
    </row>
    <row r="54" spans="5:10" x14ac:dyDescent="0.2">
      <c r="E54">
        <v>35</v>
      </c>
      <c r="F54" s="19">
        <v>448.9</v>
      </c>
      <c r="G54" s="19">
        <v>449.2</v>
      </c>
      <c r="H54" s="19">
        <v>1</v>
      </c>
      <c r="I54" s="40">
        <v>449.58791653560775</v>
      </c>
      <c r="J54" s="40">
        <v>0.38791653560775785</v>
      </c>
    </row>
    <row r="55" spans="5:10" x14ac:dyDescent="0.2">
      <c r="E55">
        <v>36</v>
      </c>
      <c r="F55" s="17">
        <v>0.5</v>
      </c>
      <c r="G55" s="17">
        <v>0.2</v>
      </c>
      <c r="H55" s="17">
        <v>1</v>
      </c>
      <c r="I55" s="38">
        <v>0.23873533523626128</v>
      </c>
      <c r="J55" s="38">
        <v>3.873533523626127E-2</v>
      </c>
    </row>
    <row r="56" spans="5:10" x14ac:dyDescent="0.2">
      <c r="E56">
        <v>37</v>
      </c>
      <c r="F56" s="18"/>
      <c r="G56" s="18"/>
      <c r="H56" s="18">
        <v>1</v>
      </c>
      <c r="I56" s="39"/>
      <c r="J56" s="39"/>
    </row>
    <row r="57" spans="5:10" x14ac:dyDescent="0.2">
      <c r="E57">
        <v>38</v>
      </c>
      <c r="F57" s="18"/>
      <c r="G57" s="18"/>
      <c r="H57" s="18">
        <v>1</v>
      </c>
      <c r="I57" s="39"/>
      <c r="J57" s="39"/>
    </row>
    <row r="58" spans="5:10" x14ac:dyDescent="0.2">
      <c r="E58">
        <v>39</v>
      </c>
      <c r="F58" s="18"/>
      <c r="G58" s="18"/>
      <c r="H58" s="18">
        <v>1</v>
      </c>
      <c r="I58" s="39"/>
      <c r="J58" s="39"/>
    </row>
    <row r="59" spans="5:10" x14ac:dyDescent="0.2">
      <c r="E59">
        <v>40</v>
      </c>
      <c r="F59" s="19"/>
      <c r="G59" s="19"/>
      <c r="H59" s="19">
        <v>1</v>
      </c>
      <c r="I59" s="40"/>
      <c r="J59" s="40"/>
    </row>
    <row r="60" spans="5:10" x14ac:dyDescent="0.2">
      <c r="E60">
        <v>41</v>
      </c>
      <c r="F60" s="17"/>
      <c r="G60" s="17"/>
      <c r="H60" s="17">
        <v>1</v>
      </c>
      <c r="I60" s="38"/>
      <c r="J60" s="38"/>
    </row>
    <row r="61" spans="5:10" x14ac:dyDescent="0.2">
      <c r="E61">
        <v>42</v>
      </c>
      <c r="F61" s="18"/>
      <c r="G61" s="18"/>
      <c r="H61" s="18">
        <v>1</v>
      </c>
      <c r="I61" s="39"/>
      <c r="J61" s="39"/>
    </row>
    <row r="62" spans="5:10" x14ac:dyDescent="0.2">
      <c r="E62">
        <v>43</v>
      </c>
      <c r="F62" s="18"/>
      <c r="G62" s="18"/>
      <c r="H62" s="18">
        <v>1</v>
      </c>
      <c r="I62" s="39"/>
      <c r="J62" s="39"/>
    </row>
    <row r="63" spans="5:10" x14ac:dyDescent="0.2">
      <c r="E63">
        <v>44</v>
      </c>
      <c r="F63" s="18"/>
      <c r="G63" s="18"/>
      <c r="H63" s="18">
        <v>1</v>
      </c>
      <c r="I63" s="39"/>
      <c r="J63" s="39"/>
    </row>
    <row r="64" spans="5:10" x14ac:dyDescent="0.2">
      <c r="E64">
        <v>45</v>
      </c>
      <c r="F64" s="19"/>
      <c r="G64" s="19"/>
      <c r="H64" s="19">
        <v>1</v>
      </c>
      <c r="I64" s="40"/>
      <c r="J64" s="40"/>
    </row>
    <row r="65" spans="5:10" x14ac:dyDescent="0.2">
      <c r="E65">
        <v>46</v>
      </c>
      <c r="F65" s="17"/>
      <c r="G65" s="17"/>
      <c r="H65" s="17">
        <v>1</v>
      </c>
      <c r="I65" s="38"/>
      <c r="J65" s="38"/>
    </row>
    <row r="66" spans="5:10" x14ac:dyDescent="0.2">
      <c r="E66">
        <v>47</v>
      </c>
      <c r="F66" s="18"/>
      <c r="G66" s="18"/>
      <c r="H66" s="18">
        <v>1</v>
      </c>
      <c r="I66" s="39"/>
      <c r="J66" s="39"/>
    </row>
    <row r="67" spans="5:10" x14ac:dyDescent="0.2">
      <c r="E67">
        <v>48</v>
      </c>
      <c r="F67" s="18"/>
      <c r="G67" s="18"/>
      <c r="H67" s="18">
        <v>1</v>
      </c>
      <c r="I67" s="39"/>
      <c r="J67" s="39"/>
    </row>
    <row r="68" spans="5:10" x14ac:dyDescent="0.2">
      <c r="E68">
        <v>49</v>
      </c>
      <c r="F68" s="18"/>
      <c r="G68" s="18"/>
      <c r="H68" s="18">
        <v>1</v>
      </c>
      <c r="I68" s="39"/>
      <c r="J68" s="39"/>
    </row>
    <row r="69" spans="5:10" x14ac:dyDescent="0.2">
      <c r="E69">
        <v>50</v>
      </c>
      <c r="F69" s="19"/>
      <c r="G69" s="19"/>
      <c r="H69" s="19">
        <v>1</v>
      </c>
      <c r="I69" s="40"/>
      <c r="J69" s="40"/>
    </row>
    <row r="70" spans="5:10" x14ac:dyDescent="0.2">
      <c r="E70">
        <v>51</v>
      </c>
      <c r="F70" s="17"/>
      <c r="G70" s="17"/>
      <c r="H70" s="17">
        <v>1</v>
      </c>
      <c r="I70" s="38"/>
      <c r="J70" s="38"/>
    </row>
    <row r="71" spans="5:10" x14ac:dyDescent="0.2">
      <c r="E71">
        <v>52</v>
      </c>
      <c r="F71" s="18"/>
      <c r="G71" s="18"/>
      <c r="H71" s="18">
        <v>1</v>
      </c>
      <c r="I71" s="39"/>
      <c r="J71" s="39"/>
    </row>
    <row r="72" spans="5:10" x14ac:dyDescent="0.2">
      <c r="E72">
        <v>53</v>
      </c>
      <c r="F72" s="18"/>
      <c r="G72" s="18"/>
      <c r="H72" s="18">
        <v>1</v>
      </c>
      <c r="I72" s="39"/>
      <c r="J72" s="39"/>
    </row>
    <row r="73" spans="5:10" x14ac:dyDescent="0.2">
      <c r="E73">
        <v>54</v>
      </c>
      <c r="F73" s="18"/>
      <c r="G73" s="18"/>
      <c r="H73" s="18">
        <v>1</v>
      </c>
      <c r="I73" s="39"/>
      <c r="J73" s="39"/>
    </row>
    <row r="74" spans="5:10" x14ac:dyDescent="0.2">
      <c r="E74">
        <v>55</v>
      </c>
      <c r="F74" s="19"/>
      <c r="G74" s="19"/>
      <c r="H74" s="19">
        <v>1</v>
      </c>
      <c r="I74" s="40"/>
      <c r="J74" s="40"/>
    </row>
    <row r="75" spans="5:10" x14ac:dyDescent="0.2">
      <c r="E75">
        <v>56</v>
      </c>
      <c r="F75" s="17"/>
      <c r="G75" s="17"/>
      <c r="H75" s="17">
        <v>1</v>
      </c>
      <c r="I75" s="38"/>
      <c r="J75" s="38"/>
    </row>
    <row r="76" spans="5:10" x14ac:dyDescent="0.2">
      <c r="E76">
        <v>57</v>
      </c>
      <c r="F76" s="18"/>
      <c r="G76" s="18"/>
      <c r="H76" s="18">
        <v>1</v>
      </c>
      <c r="I76" s="39"/>
      <c r="J76" s="39"/>
    </row>
    <row r="77" spans="5:10" x14ac:dyDescent="0.2">
      <c r="E77">
        <v>58</v>
      </c>
      <c r="F77" s="18"/>
      <c r="G77" s="18"/>
      <c r="H77" s="18">
        <v>1</v>
      </c>
      <c r="I77" s="39"/>
      <c r="J77" s="39"/>
    </row>
    <row r="78" spans="5:10" x14ac:dyDescent="0.2">
      <c r="E78">
        <v>59</v>
      </c>
      <c r="F78" s="18"/>
      <c r="G78" s="18"/>
      <c r="H78" s="18">
        <v>1</v>
      </c>
      <c r="I78" s="39"/>
      <c r="J78" s="39"/>
    </row>
    <row r="79" spans="5:10" x14ac:dyDescent="0.2">
      <c r="E79">
        <v>60</v>
      </c>
      <c r="F79" s="19"/>
      <c r="G79" s="19"/>
      <c r="H79" s="19">
        <v>1</v>
      </c>
      <c r="I79" s="40"/>
      <c r="J79" s="40"/>
    </row>
    <row r="80" spans="5:10" x14ac:dyDescent="0.2">
      <c r="E80">
        <v>61</v>
      </c>
      <c r="F80" s="17"/>
      <c r="G80" s="17"/>
      <c r="H80" s="17">
        <v>1</v>
      </c>
      <c r="I80" s="38"/>
      <c r="J80" s="38"/>
    </row>
    <row r="81" spans="5:10" x14ac:dyDescent="0.2">
      <c r="E81">
        <v>62</v>
      </c>
      <c r="F81" s="18"/>
      <c r="G81" s="18"/>
      <c r="H81" s="18">
        <v>1</v>
      </c>
      <c r="I81" s="39"/>
      <c r="J81" s="39"/>
    </row>
    <row r="82" spans="5:10" x14ac:dyDescent="0.2">
      <c r="E82">
        <v>63</v>
      </c>
      <c r="F82" s="18"/>
      <c r="G82" s="18"/>
      <c r="H82" s="18">
        <v>1</v>
      </c>
      <c r="I82" s="39"/>
      <c r="J82" s="39"/>
    </row>
    <row r="83" spans="5:10" x14ac:dyDescent="0.2">
      <c r="E83">
        <v>64</v>
      </c>
      <c r="F83" s="18"/>
      <c r="G83" s="18"/>
      <c r="H83" s="18">
        <v>1</v>
      </c>
      <c r="I83" s="39"/>
      <c r="J83" s="39"/>
    </row>
    <row r="84" spans="5:10" x14ac:dyDescent="0.2">
      <c r="E84">
        <v>65</v>
      </c>
      <c r="F84" s="19"/>
      <c r="G84" s="19"/>
      <c r="H84" s="19">
        <v>1</v>
      </c>
      <c r="I84" s="40"/>
      <c r="J84" s="40"/>
    </row>
    <row r="85" spans="5:10" x14ac:dyDescent="0.2">
      <c r="E85">
        <v>66</v>
      </c>
      <c r="F85" s="17"/>
      <c r="G85" s="17"/>
      <c r="H85" s="17">
        <v>1</v>
      </c>
      <c r="I85" s="38"/>
      <c r="J85" s="38"/>
    </row>
    <row r="86" spans="5:10" x14ac:dyDescent="0.2">
      <c r="E86">
        <v>67</v>
      </c>
      <c r="F86" s="18"/>
      <c r="G86" s="18"/>
      <c r="H86" s="18">
        <v>1</v>
      </c>
      <c r="I86" s="39"/>
      <c r="J86" s="39"/>
    </row>
    <row r="87" spans="5:10" x14ac:dyDescent="0.2">
      <c r="E87">
        <v>68</v>
      </c>
      <c r="F87" s="18"/>
      <c r="G87" s="18"/>
      <c r="H87" s="18">
        <v>1</v>
      </c>
      <c r="I87" s="39"/>
      <c r="J87" s="39"/>
    </row>
    <row r="88" spans="5:10" x14ac:dyDescent="0.2">
      <c r="E88">
        <v>69</v>
      </c>
      <c r="F88" s="18"/>
      <c r="G88" s="18"/>
      <c r="H88" s="18">
        <v>1</v>
      </c>
      <c r="I88" s="39"/>
      <c r="J88" s="39"/>
    </row>
    <row r="89" spans="5:10" x14ac:dyDescent="0.2">
      <c r="E89">
        <v>70</v>
      </c>
      <c r="F89" s="19"/>
      <c r="G89" s="19"/>
      <c r="H89" s="19">
        <v>1</v>
      </c>
      <c r="I89" s="40"/>
      <c r="J89" s="40"/>
    </row>
    <row r="90" spans="5:10" x14ac:dyDescent="0.2">
      <c r="E90">
        <v>71</v>
      </c>
      <c r="F90" s="17"/>
      <c r="G90" s="17"/>
      <c r="H90" s="17">
        <v>1</v>
      </c>
      <c r="I90" s="38"/>
      <c r="J90" s="38"/>
    </row>
    <row r="91" spans="5:10" x14ac:dyDescent="0.2">
      <c r="E91">
        <v>72</v>
      </c>
      <c r="F91" s="18"/>
      <c r="G91" s="18"/>
      <c r="H91" s="18">
        <v>1</v>
      </c>
      <c r="I91" s="39"/>
      <c r="J91" s="39"/>
    </row>
    <row r="92" spans="5:10" x14ac:dyDescent="0.2">
      <c r="E92">
        <v>73</v>
      </c>
      <c r="F92" s="18"/>
      <c r="G92" s="18"/>
      <c r="H92" s="18">
        <v>1</v>
      </c>
      <c r="I92" s="39"/>
      <c r="J92" s="39"/>
    </row>
    <row r="93" spans="5:10" x14ac:dyDescent="0.2">
      <c r="E93">
        <v>74</v>
      </c>
      <c r="F93" s="18"/>
      <c r="G93" s="18"/>
      <c r="H93" s="18">
        <v>1</v>
      </c>
      <c r="I93" s="39"/>
      <c r="J93" s="39"/>
    </row>
    <row r="94" spans="5:10" x14ac:dyDescent="0.2">
      <c r="E94">
        <v>75</v>
      </c>
      <c r="F94" s="19"/>
      <c r="G94" s="19"/>
      <c r="H94" s="19">
        <v>1</v>
      </c>
      <c r="I94" s="40"/>
      <c r="J94" s="40"/>
    </row>
    <row r="95" spans="5:10" x14ac:dyDescent="0.2">
      <c r="E95">
        <v>76</v>
      </c>
      <c r="F95" s="17"/>
      <c r="G95" s="17"/>
      <c r="H95" s="17">
        <v>1</v>
      </c>
      <c r="I95" s="38"/>
      <c r="J95" s="38"/>
    </row>
    <row r="96" spans="5:10" x14ac:dyDescent="0.2">
      <c r="E96">
        <v>77</v>
      </c>
      <c r="F96" s="18"/>
      <c r="G96" s="18"/>
      <c r="H96" s="18">
        <v>1</v>
      </c>
      <c r="I96" s="39"/>
      <c r="J96" s="39"/>
    </row>
    <row r="97" spans="5:10" x14ac:dyDescent="0.2">
      <c r="E97">
        <v>78</v>
      </c>
      <c r="F97" s="18"/>
      <c r="G97" s="18"/>
      <c r="H97" s="18">
        <v>1</v>
      </c>
      <c r="I97" s="39"/>
      <c r="J97" s="39"/>
    </row>
    <row r="98" spans="5:10" x14ac:dyDescent="0.2">
      <c r="E98">
        <v>79</v>
      </c>
      <c r="F98" s="18"/>
      <c r="G98" s="18"/>
      <c r="H98" s="18">
        <v>1</v>
      </c>
      <c r="I98" s="39"/>
      <c r="J98" s="39"/>
    </row>
    <row r="99" spans="5:10" x14ac:dyDescent="0.2">
      <c r="E99">
        <v>80</v>
      </c>
      <c r="F99" s="19"/>
      <c r="G99" s="19"/>
      <c r="H99" s="19">
        <v>1</v>
      </c>
      <c r="I99" s="40"/>
      <c r="J99" s="40"/>
    </row>
    <row r="100" spans="5:10" x14ac:dyDescent="0.2">
      <c r="E100">
        <v>81</v>
      </c>
      <c r="F100" s="17"/>
      <c r="G100" s="17"/>
      <c r="H100" s="17">
        <v>1</v>
      </c>
      <c r="I100" s="38"/>
      <c r="J100" s="38"/>
    </row>
    <row r="101" spans="5:10" x14ac:dyDescent="0.2">
      <c r="E101">
        <v>82</v>
      </c>
      <c r="F101" s="18"/>
      <c r="G101" s="18"/>
      <c r="H101" s="18">
        <v>1</v>
      </c>
      <c r="I101" s="39"/>
      <c r="J101" s="39"/>
    </row>
    <row r="102" spans="5:10" x14ac:dyDescent="0.2">
      <c r="E102">
        <v>83</v>
      </c>
      <c r="F102" s="18"/>
      <c r="G102" s="18"/>
      <c r="H102" s="18">
        <v>1</v>
      </c>
      <c r="I102" s="39"/>
      <c r="J102" s="39"/>
    </row>
    <row r="103" spans="5:10" x14ac:dyDescent="0.2">
      <c r="E103">
        <v>84</v>
      </c>
      <c r="F103" s="18"/>
      <c r="G103" s="18"/>
      <c r="H103" s="18">
        <v>1</v>
      </c>
      <c r="I103" s="39"/>
      <c r="J103" s="39"/>
    </row>
    <row r="104" spans="5:10" x14ac:dyDescent="0.2">
      <c r="E104">
        <v>85</v>
      </c>
      <c r="F104" s="19"/>
      <c r="G104" s="19"/>
      <c r="H104" s="19">
        <v>1</v>
      </c>
      <c r="I104" s="40"/>
      <c r="J104" s="40"/>
    </row>
    <row r="105" spans="5:10" x14ac:dyDescent="0.2">
      <c r="E105">
        <v>86</v>
      </c>
      <c r="F105" s="17"/>
      <c r="G105" s="17"/>
      <c r="H105" s="17">
        <v>1</v>
      </c>
      <c r="I105" s="38"/>
      <c r="J105" s="38"/>
    </row>
    <row r="106" spans="5:10" x14ac:dyDescent="0.2">
      <c r="E106">
        <v>87</v>
      </c>
      <c r="F106" s="18"/>
      <c r="G106" s="18"/>
      <c r="H106" s="18">
        <v>1</v>
      </c>
      <c r="I106" s="39"/>
      <c r="J106" s="39"/>
    </row>
    <row r="107" spans="5:10" x14ac:dyDescent="0.2">
      <c r="E107">
        <v>88</v>
      </c>
      <c r="F107" s="18"/>
      <c r="G107" s="18"/>
      <c r="H107" s="18">
        <v>1</v>
      </c>
      <c r="I107" s="39"/>
      <c r="J107" s="39"/>
    </row>
    <row r="108" spans="5:10" x14ac:dyDescent="0.2">
      <c r="E108">
        <v>89</v>
      </c>
      <c r="F108" s="18"/>
      <c r="G108" s="18"/>
      <c r="H108" s="18">
        <v>1</v>
      </c>
      <c r="I108" s="39"/>
      <c r="J108" s="39"/>
    </row>
    <row r="109" spans="5:10" x14ac:dyDescent="0.2">
      <c r="E109">
        <v>90</v>
      </c>
      <c r="F109" s="19"/>
      <c r="G109" s="19"/>
      <c r="H109" s="19">
        <v>1</v>
      </c>
      <c r="I109" s="40"/>
      <c r="J109" s="40"/>
    </row>
    <row r="110" spans="5:10" x14ac:dyDescent="0.2">
      <c r="E110">
        <v>91</v>
      </c>
      <c r="F110" s="17"/>
      <c r="G110" s="17"/>
      <c r="H110" s="17">
        <v>1</v>
      </c>
      <c r="I110" s="38"/>
      <c r="J110" s="38"/>
    </row>
    <row r="111" spans="5:10" x14ac:dyDescent="0.2">
      <c r="E111">
        <v>92</v>
      </c>
      <c r="F111" s="18"/>
      <c r="G111" s="18"/>
      <c r="H111" s="18">
        <v>1</v>
      </c>
      <c r="I111" s="39"/>
      <c r="J111" s="39"/>
    </row>
    <row r="112" spans="5:10" x14ac:dyDescent="0.2">
      <c r="E112">
        <v>93</v>
      </c>
      <c r="F112" s="18"/>
      <c r="G112" s="18"/>
      <c r="H112" s="18">
        <v>1</v>
      </c>
      <c r="I112" s="39"/>
      <c r="J112" s="39"/>
    </row>
    <row r="113" spans="5:10" x14ac:dyDescent="0.2">
      <c r="E113">
        <v>94</v>
      </c>
      <c r="F113" s="18"/>
      <c r="G113" s="18"/>
      <c r="H113" s="18">
        <v>1</v>
      </c>
      <c r="I113" s="39"/>
      <c r="J113" s="39"/>
    </row>
    <row r="114" spans="5:10" x14ac:dyDescent="0.2">
      <c r="E114">
        <v>95</v>
      </c>
      <c r="F114" s="19"/>
      <c r="G114" s="19"/>
      <c r="H114" s="19">
        <v>1</v>
      </c>
      <c r="I114" s="40"/>
      <c r="J114" s="40"/>
    </row>
    <row r="115" spans="5:10" x14ac:dyDescent="0.2">
      <c r="E115">
        <v>96</v>
      </c>
      <c r="F115" s="17"/>
      <c r="G115" s="17"/>
      <c r="H115" s="17">
        <v>1</v>
      </c>
      <c r="I115" s="38"/>
      <c r="J115" s="38"/>
    </row>
    <row r="116" spans="5:10" x14ac:dyDescent="0.2">
      <c r="E116">
        <v>97</v>
      </c>
      <c r="F116" s="18"/>
      <c r="G116" s="18"/>
      <c r="H116" s="18">
        <v>1</v>
      </c>
      <c r="I116" s="39"/>
      <c r="J116" s="39"/>
    </row>
    <row r="117" spans="5:10" x14ac:dyDescent="0.2">
      <c r="E117">
        <v>98</v>
      </c>
      <c r="F117" s="18"/>
      <c r="G117" s="18"/>
      <c r="H117" s="18">
        <v>1</v>
      </c>
      <c r="I117" s="39"/>
      <c r="J117" s="39"/>
    </row>
    <row r="118" spans="5:10" x14ac:dyDescent="0.2">
      <c r="E118">
        <v>99</v>
      </c>
      <c r="F118" s="18"/>
      <c r="G118" s="18"/>
      <c r="H118" s="18">
        <v>1</v>
      </c>
      <c r="I118" s="39"/>
      <c r="J118" s="39"/>
    </row>
    <row r="119" spans="5:10" x14ac:dyDescent="0.2">
      <c r="E119">
        <v>100</v>
      </c>
      <c r="F119" s="19"/>
      <c r="G119" s="19"/>
      <c r="H119" s="19">
        <v>1</v>
      </c>
      <c r="I119" s="40"/>
      <c r="J119" s="40"/>
    </row>
  </sheetData>
  <mergeCells count="10">
    <mergeCell ref="G5:G6"/>
    <mergeCell ref="H5:H6"/>
    <mergeCell ref="I5:I6"/>
    <mergeCell ref="J5:J6"/>
    <mergeCell ref="K5:T5"/>
    <mergeCell ref="F18:F19"/>
    <mergeCell ref="G18:G19"/>
    <mergeCell ref="H18:H19"/>
    <mergeCell ref="I18:I19"/>
    <mergeCell ref="J18:J19"/>
  </mergeCells>
  <phoneticPr fontId="1"/>
  <dataValidations count="4">
    <dataValidation type="whole" allowBlank="1" showInputMessage="1" showErrorMessage="1" sqref="D6" xr:uid="{00000000-0002-0000-0400-000000000000}">
      <formula1>2</formula1>
      <formula2>100</formula2>
    </dataValidation>
    <dataValidation type="whole" allowBlank="1" showInputMessage="1" showErrorMessage="1" sqref="D7" xr:uid="{00000000-0002-0000-0400-000001000000}">
      <formula1>2</formula1>
      <formula2>10</formula2>
    </dataValidation>
    <dataValidation type="list" allowBlank="1" showInputMessage="1" showErrorMessage="1" prompt="0: 絶対精度_x000a_1: 相対精度" sqref="D11" xr:uid="{00000000-0002-0000-0400-000002000000}">
      <formula1>"0,1"</formula1>
    </dataValidation>
    <dataValidation type="whole" allowBlank="1" showInputMessage="1" showErrorMessage="1" prompt="0: Dgels_x000a_1: Dgelsy_x000a_2: Dgelss" sqref="D12" xr:uid="{00000000-0002-0000-0400-000003000000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Lsq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29"/>
  <sheetViews>
    <sheetView workbookViewId="0"/>
  </sheetViews>
  <sheetFormatPr defaultColWidth="8.90625" defaultRowHeight="13" x14ac:dyDescent="0.2"/>
  <cols>
    <col min="2" max="5" width="12.6328125" customWidth="1"/>
    <col min="6" max="6" width="9" customWidth="1"/>
  </cols>
  <sheetData>
    <row r="1" spans="1:5" x14ac:dyDescent="0.2">
      <c r="A1" s="78" t="s">
        <v>95</v>
      </c>
    </row>
    <row r="5" spans="1:5" x14ac:dyDescent="0.2">
      <c r="A5" s="1" t="s">
        <v>13</v>
      </c>
      <c r="B5" s="15">
        <v>11</v>
      </c>
      <c r="D5" t="s">
        <v>96</v>
      </c>
    </row>
    <row r="6" spans="1:5" x14ac:dyDescent="0.2">
      <c r="A6" s="1" t="s">
        <v>18</v>
      </c>
      <c r="B6" s="37">
        <v>2</v>
      </c>
    </row>
    <row r="7" spans="1:5" x14ac:dyDescent="0.2">
      <c r="D7" t="s">
        <v>225</v>
      </c>
    </row>
    <row r="8" spans="1:5" x14ac:dyDescent="0.2">
      <c r="A8" s="103"/>
      <c r="B8" s="99" t="s">
        <v>97</v>
      </c>
      <c r="C8" s="105"/>
      <c r="D8" s="99" t="s">
        <v>98</v>
      </c>
      <c r="E8" s="105"/>
    </row>
    <row r="9" spans="1:5" x14ac:dyDescent="0.2">
      <c r="A9" s="104"/>
      <c r="B9" s="59" t="s">
        <v>46</v>
      </c>
      <c r="C9" s="60" t="s">
        <v>47</v>
      </c>
      <c r="D9" s="94" t="s">
        <v>99</v>
      </c>
      <c r="E9" s="95" t="s">
        <v>100</v>
      </c>
    </row>
    <row r="10" spans="1:5" x14ac:dyDescent="0.2">
      <c r="A10" s="38">
        <v>1</v>
      </c>
      <c r="B10" s="13">
        <v>0</v>
      </c>
      <c r="C10" s="21">
        <f>1/(1+25*B10^2)</f>
        <v>1</v>
      </c>
      <c r="D10" s="13">
        <v>0.05</v>
      </c>
      <c r="E10" s="29">
        <v>0.92925602004617947</v>
      </c>
    </row>
    <row r="11" spans="1:5" x14ac:dyDescent="0.2">
      <c r="A11" s="39">
        <v>2</v>
      </c>
      <c r="B11" s="22">
        <v>0.1</v>
      </c>
      <c r="C11" s="24">
        <f t="shared" ref="C11:C20" si="0">1/(1+25*B11^2)</f>
        <v>0.8</v>
      </c>
      <c r="D11" s="22">
        <v>0.15</v>
      </c>
      <c r="E11" s="33">
        <v>0.64574397995382071</v>
      </c>
    </row>
    <row r="12" spans="1:5" x14ac:dyDescent="0.2">
      <c r="A12" s="39">
        <v>3</v>
      </c>
      <c r="B12" s="22">
        <v>0.2</v>
      </c>
      <c r="C12" s="24">
        <f t="shared" si="0"/>
        <v>0.5</v>
      </c>
      <c r="D12" s="22">
        <v>0.25</v>
      </c>
      <c r="E12" s="33">
        <v>0.38872959860007655</v>
      </c>
    </row>
    <row r="13" spans="1:5" x14ac:dyDescent="0.2">
      <c r="A13" s="39">
        <v>4</v>
      </c>
      <c r="B13" s="22">
        <v>0.3</v>
      </c>
      <c r="C13" s="24">
        <f t="shared" si="0"/>
        <v>0.30769230769230771</v>
      </c>
      <c r="D13" s="22">
        <v>0.35</v>
      </c>
      <c r="E13" s="33">
        <v>0.24645301026125777</v>
      </c>
    </row>
    <row r="14" spans="1:5" x14ac:dyDescent="0.2">
      <c r="A14" s="39">
        <v>5</v>
      </c>
      <c r="B14" s="22">
        <v>0.4</v>
      </c>
      <c r="C14" s="24">
        <f t="shared" si="0"/>
        <v>0.19999999999999996</v>
      </c>
      <c r="D14" s="22">
        <v>0.45</v>
      </c>
      <c r="E14" s="33">
        <v>0.16481512428062178</v>
      </c>
    </row>
    <row r="15" spans="1:5" x14ac:dyDescent="0.2">
      <c r="A15" s="39">
        <v>6</v>
      </c>
      <c r="B15" s="22">
        <v>0.5</v>
      </c>
      <c r="C15" s="24">
        <f t="shared" si="0"/>
        <v>0.13793103448275862</v>
      </c>
      <c r="D15" s="22">
        <v>0.55000000000000004</v>
      </c>
      <c r="E15" s="33">
        <v>0.11679975521572443</v>
      </c>
    </row>
    <row r="16" spans="1:5" x14ac:dyDescent="0.2">
      <c r="A16" s="39">
        <v>7</v>
      </c>
      <c r="B16" s="22">
        <v>0.6</v>
      </c>
      <c r="C16" s="24">
        <f t="shared" si="0"/>
        <v>0.1</v>
      </c>
      <c r="D16" s="22">
        <v>0.65</v>
      </c>
      <c r="E16" s="33">
        <v>8.6471541258562351E-2</v>
      </c>
    </row>
    <row r="17" spans="1:5" x14ac:dyDescent="0.2">
      <c r="A17" s="39">
        <v>8</v>
      </c>
      <c r="B17" s="22">
        <v>0.7</v>
      </c>
      <c r="C17" s="24">
        <f t="shared" si="0"/>
        <v>7.5471698113207558E-2</v>
      </c>
      <c r="D17" s="22">
        <v>0.75</v>
      </c>
      <c r="E17" s="33">
        <v>6.638953231231326E-2</v>
      </c>
    </row>
    <row r="18" spans="1:5" x14ac:dyDescent="0.2">
      <c r="A18" s="39">
        <v>9</v>
      </c>
      <c r="B18" s="22">
        <v>0.8</v>
      </c>
      <c r="C18" s="24">
        <f t="shared" si="0"/>
        <v>5.8823529411764691E-2</v>
      </c>
      <c r="D18" s="22">
        <v>0.85</v>
      </c>
      <c r="E18" s="33">
        <v>5.2451461567656302E-2</v>
      </c>
    </row>
    <row r="19" spans="1:5" x14ac:dyDescent="0.2">
      <c r="A19" s="40">
        <v>10</v>
      </c>
      <c r="B19" s="25">
        <v>0.9</v>
      </c>
      <c r="C19" s="27">
        <f t="shared" si="0"/>
        <v>4.7058823529411764E-2</v>
      </c>
      <c r="D19" s="25">
        <v>0.95</v>
      </c>
      <c r="E19" s="36">
        <v>4.2458040694787147E-2</v>
      </c>
    </row>
    <row r="20" spans="1:5" x14ac:dyDescent="0.2">
      <c r="A20" s="38">
        <v>11</v>
      </c>
      <c r="B20" s="13">
        <v>1</v>
      </c>
      <c r="C20" s="21">
        <f t="shared" si="0"/>
        <v>3.8461538461538464E-2</v>
      </c>
      <c r="D20" s="13"/>
      <c r="E20" s="29"/>
    </row>
    <row r="21" spans="1:5" x14ac:dyDescent="0.2">
      <c r="A21" s="39">
        <v>12</v>
      </c>
      <c r="B21" s="22"/>
      <c r="C21" s="24"/>
      <c r="D21" s="22"/>
      <c r="E21" s="33"/>
    </row>
    <row r="22" spans="1:5" x14ac:dyDescent="0.2">
      <c r="A22" s="39">
        <v>13</v>
      </c>
      <c r="B22" s="22"/>
      <c r="C22" s="24"/>
      <c r="D22" s="22"/>
      <c r="E22" s="33"/>
    </row>
    <row r="23" spans="1:5" x14ac:dyDescent="0.2">
      <c r="A23" s="39">
        <v>14</v>
      </c>
      <c r="B23" s="22"/>
      <c r="C23" s="24"/>
      <c r="D23" s="22"/>
      <c r="E23" s="33"/>
    </row>
    <row r="24" spans="1:5" x14ac:dyDescent="0.2">
      <c r="A24" s="39">
        <v>15</v>
      </c>
      <c r="B24" s="22"/>
      <c r="C24" s="24"/>
      <c r="D24" s="22"/>
      <c r="E24" s="33"/>
    </row>
    <row r="25" spans="1:5" x14ac:dyDescent="0.2">
      <c r="A25" s="39">
        <v>16</v>
      </c>
      <c r="B25" s="22"/>
      <c r="C25" s="24"/>
      <c r="D25" s="22"/>
      <c r="E25" s="33"/>
    </row>
    <row r="26" spans="1:5" x14ac:dyDescent="0.2">
      <c r="A26" s="39">
        <v>17</v>
      </c>
      <c r="B26" s="22"/>
      <c r="C26" s="24"/>
      <c r="D26" s="22"/>
      <c r="E26" s="33"/>
    </row>
    <row r="27" spans="1:5" x14ac:dyDescent="0.2">
      <c r="A27" s="39">
        <v>18</v>
      </c>
      <c r="B27" s="22"/>
      <c r="C27" s="24"/>
      <c r="D27" s="22"/>
      <c r="E27" s="33"/>
    </row>
    <row r="28" spans="1:5" x14ac:dyDescent="0.2">
      <c r="A28" s="39">
        <v>19</v>
      </c>
      <c r="B28" s="22"/>
      <c r="C28" s="24"/>
      <c r="D28" s="22"/>
      <c r="E28" s="33"/>
    </row>
    <row r="29" spans="1:5" x14ac:dyDescent="0.2">
      <c r="A29" s="40">
        <v>20</v>
      </c>
      <c r="B29" s="25"/>
      <c r="C29" s="27"/>
      <c r="D29" s="25"/>
      <c r="E29" s="36"/>
    </row>
  </sheetData>
  <mergeCells count="3">
    <mergeCell ref="A8:A9"/>
    <mergeCell ref="B8:C8"/>
    <mergeCell ref="D8:E8"/>
  </mergeCells>
  <phoneticPr fontId="1"/>
  <dataValidations count="1">
    <dataValidation type="whole" allowBlank="1" showInputMessage="1" showErrorMessage="1" prompt="2: Spline_x000a_" sqref="B6" xr:uid="{00000000-0002-0000-05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Int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1403350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nt_Clear_1">
                <anchor moveWithCells="1" sizeWithCells="1">
                  <from>
                    <xdr:col>2</xdr:col>
                    <xdr:colOff>1403350</xdr:colOff>
                    <xdr:row>1</xdr:row>
                    <xdr:rowOff>165100</xdr:rowOff>
                  </from>
                  <to>
                    <xdr:col>3</xdr:col>
                    <xdr:colOff>1403350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Q20"/>
  <sheetViews>
    <sheetView workbookViewId="0"/>
  </sheetViews>
  <sheetFormatPr defaultColWidth="8.90625" defaultRowHeight="13" x14ac:dyDescent="0.2"/>
  <cols>
    <col min="1" max="1" width="9" customWidth="1"/>
    <col min="2" max="4" width="12.6328125" customWidth="1"/>
    <col min="5" max="6" width="4" customWidth="1"/>
    <col min="7" max="17" width="10.6328125" customWidth="1"/>
  </cols>
  <sheetData>
    <row r="1" spans="1:17" x14ac:dyDescent="0.2">
      <c r="A1" s="78" t="s">
        <v>101</v>
      </c>
    </row>
    <row r="5" spans="1:17" x14ac:dyDescent="0.2">
      <c r="A5" t="s">
        <v>102</v>
      </c>
      <c r="G5" s="1" t="s">
        <v>48</v>
      </c>
      <c r="H5" s="15">
        <v>5</v>
      </c>
      <c r="J5" t="s">
        <v>103</v>
      </c>
    </row>
    <row r="6" spans="1:17" x14ac:dyDescent="0.2">
      <c r="A6" s="1" t="s">
        <v>49</v>
      </c>
      <c r="B6" s="37">
        <v>2</v>
      </c>
      <c r="G6" s="1" t="s">
        <v>50</v>
      </c>
      <c r="H6" s="15">
        <v>5</v>
      </c>
      <c r="J6" t="s">
        <v>104</v>
      </c>
    </row>
    <row r="7" spans="1:17" x14ac:dyDescent="0.2">
      <c r="D7" s="61" t="s">
        <v>225</v>
      </c>
    </row>
    <row r="8" spans="1:17" x14ac:dyDescent="0.2">
      <c r="A8" s="2"/>
      <c r="B8" s="106" t="s">
        <v>95</v>
      </c>
      <c r="C8" s="107"/>
      <c r="D8" s="108"/>
      <c r="E8" s="79"/>
      <c r="F8" s="103"/>
      <c r="G8" s="45"/>
      <c r="H8" s="99" t="s">
        <v>105</v>
      </c>
      <c r="I8" s="100"/>
      <c r="J8" s="100"/>
      <c r="K8" s="100"/>
      <c r="L8" s="100"/>
      <c r="M8" s="100"/>
      <c r="N8" s="100"/>
      <c r="O8" s="100"/>
      <c r="P8" s="100"/>
      <c r="Q8" s="101"/>
    </row>
    <row r="9" spans="1:17" x14ac:dyDescent="0.2">
      <c r="A9" s="6"/>
      <c r="B9" s="109"/>
      <c r="C9" s="110"/>
      <c r="D9" s="111"/>
      <c r="E9" s="79"/>
      <c r="F9" s="102"/>
      <c r="G9" s="45" t="s">
        <v>51</v>
      </c>
      <c r="H9" s="80">
        <v>1</v>
      </c>
      <c r="I9" s="81">
        <v>2</v>
      </c>
      <c r="J9" s="81">
        <v>3</v>
      </c>
      <c r="K9" s="81">
        <v>4</v>
      </c>
      <c r="L9" s="82">
        <v>5</v>
      </c>
      <c r="M9" s="80">
        <v>6</v>
      </c>
      <c r="N9" s="81">
        <v>7</v>
      </c>
      <c r="O9" s="81">
        <v>8</v>
      </c>
      <c r="P9" s="81">
        <v>9</v>
      </c>
      <c r="Q9" s="82">
        <v>10</v>
      </c>
    </row>
    <row r="10" spans="1:17" x14ac:dyDescent="0.2">
      <c r="A10" s="6"/>
      <c r="B10" s="59" t="s">
        <v>19</v>
      </c>
      <c r="C10" s="60" t="s">
        <v>20</v>
      </c>
      <c r="D10" s="60" t="s">
        <v>106</v>
      </c>
      <c r="F10" s="45" t="s">
        <v>52</v>
      </c>
      <c r="G10" s="48"/>
      <c r="H10" s="13">
        <v>50</v>
      </c>
      <c r="I10" s="20">
        <v>60</v>
      </c>
      <c r="J10" s="20">
        <v>70</v>
      </c>
      <c r="K10" s="20">
        <v>80</v>
      </c>
      <c r="L10" s="21">
        <v>90</v>
      </c>
      <c r="M10" s="13"/>
      <c r="N10" s="20"/>
      <c r="O10" s="20"/>
      <c r="P10" s="20"/>
      <c r="Q10" s="21"/>
    </row>
    <row r="11" spans="1:17" x14ac:dyDescent="0.2">
      <c r="A11" s="38">
        <v>1</v>
      </c>
      <c r="B11" s="13">
        <v>55</v>
      </c>
      <c r="C11" s="21">
        <v>51</v>
      </c>
      <c r="D11" s="29">
        <v>0.97474897460937504</v>
      </c>
      <c r="F11" s="64">
        <v>1</v>
      </c>
      <c r="G11" s="87">
        <v>50</v>
      </c>
      <c r="H11" s="13">
        <v>0.94010000000000005</v>
      </c>
      <c r="I11" s="20">
        <v>0.9647</v>
      </c>
      <c r="J11" s="20">
        <v>0.98760000000000003</v>
      </c>
      <c r="K11" s="20">
        <v>1.0044</v>
      </c>
      <c r="L11" s="21">
        <v>1.0106999999999999</v>
      </c>
      <c r="M11" s="13"/>
      <c r="N11" s="20"/>
      <c r="O11" s="20"/>
      <c r="P11" s="20"/>
      <c r="Q11" s="21"/>
    </row>
    <row r="12" spans="1:17" x14ac:dyDescent="0.2">
      <c r="A12" s="39">
        <v>2</v>
      </c>
      <c r="B12" s="22">
        <v>65</v>
      </c>
      <c r="C12" s="24">
        <v>53</v>
      </c>
      <c r="D12" s="33">
        <v>1.050895068359375</v>
      </c>
      <c r="F12" s="39">
        <v>2</v>
      </c>
      <c r="G12" s="18">
        <v>52</v>
      </c>
      <c r="H12" s="22">
        <v>0.98350000000000004</v>
      </c>
      <c r="I12" s="23">
        <v>1.0118</v>
      </c>
      <c r="J12" s="23">
        <v>1.0387</v>
      </c>
      <c r="K12" s="23">
        <v>1.0587</v>
      </c>
      <c r="L12" s="24">
        <v>1.0662</v>
      </c>
      <c r="M12" s="22"/>
      <c r="N12" s="23"/>
      <c r="O12" s="23"/>
      <c r="P12" s="23"/>
      <c r="Q12" s="24"/>
    </row>
    <row r="13" spans="1:17" x14ac:dyDescent="0.2">
      <c r="A13" s="39">
        <v>3</v>
      </c>
      <c r="B13" s="22">
        <v>75</v>
      </c>
      <c r="C13" s="24">
        <v>55</v>
      </c>
      <c r="D13" s="33">
        <v>1.132985498046875</v>
      </c>
      <c r="F13" s="39">
        <v>3</v>
      </c>
      <c r="G13" s="18">
        <v>54</v>
      </c>
      <c r="H13" s="22">
        <v>1.0277000000000001</v>
      </c>
      <c r="I13" s="23">
        <v>1.0602</v>
      </c>
      <c r="J13" s="23">
        <v>1.0914999999999999</v>
      </c>
      <c r="K13" s="23">
        <v>1.1152</v>
      </c>
      <c r="L13" s="24">
        <v>1.1242000000000001</v>
      </c>
      <c r="M13" s="22"/>
      <c r="N13" s="23"/>
      <c r="O13" s="23"/>
      <c r="P13" s="23"/>
      <c r="Q13" s="24"/>
    </row>
    <row r="14" spans="1:17" x14ac:dyDescent="0.2">
      <c r="A14" s="39">
        <v>4</v>
      </c>
      <c r="B14" s="22">
        <v>85</v>
      </c>
      <c r="C14" s="24">
        <v>57</v>
      </c>
      <c r="D14" s="33">
        <v>1.2137917480468747</v>
      </c>
      <c r="F14" s="39">
        <v>4</v>
      </c>
      <c r="G14" s="18">
        <v>56</v>
      </c>
      <c r="H14" s="22">
        <v>1.0725</v>
      </c>
      <c r="I14" s="23">
        <v>1.1096999999999999</v>
      </c>
      <c r="J14" s="23">
        <v>1.1462000000000001</v>
      </c>
      <c r="K14" s="23">
        <v>1.1742999999999999</v>
      </c>
      <c r="L14" s="24">
        <v>1.1851</v>
      </c>
      <c r="M14" s="22"/>
      <c r="N14" s="23"/>
      <c r="O14" s="23"/>
      <c r="P14" s="23"/>
      <c r="Q14" s="24"/>
    </row>
    <row r="15" spans="1:17" x14ac:dyDescent="0.2">
      <c r="A15" s="40">
        <v>5</v>
      </c>
      <c r="B15" s="25">
        <v>55</v>
      </c>
      <c r="C15" s="27">
        <v>57</v>
      </c>
      <c r="D15" s="36">
        <v>1.114572216796875</v>
      </c>
      <c r="F15" s="40">
        <v>5</v>
      </c>
      <c r="G15" s="19">
        <v>58</v>
      </c>
      <c r="H15" s="25">
        <v>1.1180000000000001</v>
      </c>
      <c r="I15" s="26">
        <v>1.1605000000000001</v>
      </c>
      <c r="J15" s="26">
        <v>1.2030000000000001</v>
      </c>
      <c r="K15" s="26">
        <v>1.2362</v>
      </c>
      <c r="L15" s="27">
        <v>1.2492000000000001</v>
      </c>
      <c r="M15" s="25"/>
      <c r="N15" s="26"/>
      <c r="O15" s="26"/>
      <c r="P15" s="26"/>
      <c r="Q15" s="27"/>
    </row>
    <row r="16" spans="1:17" x14ac:dyDescent="0.2">
      <c r="A16" s="64">
        <v>6</v>
      </c>
      <c r="B16" s="62">
        <v>65</v>
      </c>
      <c r="C16" s="63">
        <v>55</v>
      </c>
      <c r="D16" s="83">
        <v>1.1022487792968749</v>
      </c>
      <c r="F16" s="38">
        <v>6</v>
      </c>
      <c r="G16" s="17"/>
      <c r="H16" s="62"/>
      <c r="I16" s="88"/>
      <c r="J16" s="88"/>
      <c r="K16" s="88"/>
      <c r="L16" s="63"/>
      <c r="M16" s="62"/>
      <c r="N16" s="88"/>
      <c r="O16" s="88"/>
      <c r="P16" s="88"/>
      <c r="Q16" s="63"/>
    </row>
    <row r="17" spans="1:17" x14ac:dyDescent="0.2">
      <c r="A17" s="39">
        <v>7</v>
      </c>
      <c r="B17" s="22">
        <v>75</v>
      </c>
      <c r="C17" s="24">
        <v>53</v>
      </c>
      <c r="D17" s="33">
        <v>1.077055224609375</v>
      </c>
      <c r="F17" s="39">
        <v>7</v>
      </c>
      <c r="G17" s="18"/>
      <c r="H17" s="22"/>
      <c r="I17" s="23"/>
      <c r="J17" s="23"/>
      <c r="K17" s="23"/>
      <c r="L17" s="24"/>
      <c r="M17" s="22"/>
      <c r="N17" s="23"/>
      <c r="O17" s="23"/>
      <c r="P17" s="23"/>
      <c r="Q17" s="24"/>
    </row>
    <row r="18" spans="1:17" x14ac:dyDescent="0.2">
      <c r="A18" s="39">
        <v>8</v>
      </c>
      <c r="B18" s="22">
        <v>85</v>
      </c>
      <c r="C18" s="24">
        <v>51</v>
      </c>
      <c r="D18" s="33">
        <v>1.0364794433593749</v>
      </c>
      <c r="F18" s="39">
        <v>8</v>
      </c>
      <c r="G18" s="18"/>
      <c r="H18" s="22"/>
      <c r="I18" s="23"/>
      <c r="J18" s="23"/>
      <c r="K18" s="23"/>
      <c r="L18" s="24"/>
      <c r="M18" s="22"/>
      <c r="N18" s="23"/>
      <c r="O18" s="23"/>
      <c r="P18" s="23"/>
      <c r="Q18" s="24"/>
    </row>
    <row r="19" spans="1:17" x14ac:dyDescent="0.2">
      <c r="A19" s="39">
        <v>9</v>
      </c>
      <c r="B19" s="22"/>
      <c r="C19" s="24"/>
      <c r="D19" s="33"/>
      <c r="F19" s="39">
        <v>9</v>
      </c>
      <c r="G19" s="18"/>
      <c r="H19" s="22"/>
      <c r="I19" s="23"/>
      <c r="J19" s="23"/>
      <c r="K19" s="23"/>
      <c r="L19" s="24"/>
      <c r="M19" s="22"/>
      <c r="N19" s="23"/>
      <c r="O19" s="23"/>
      <c r="P19" s="23"/>
      <c r="Q19" s="24"/>
    </row>
    <row r="20" spans="1:17" x14ac:dyDescent="0.2">
      <c r="A20" s="40">
        <v>10</v>
      </c>
      <c r="B20" s="25"/>
      <c r="C20" s="27"/>
      <c r="D20" s="36"/>
      <c r="F20" s="40">
        <v>10</v>
      </c>
      <c r="G20" s="19"/>
      <c r="H20" s="25"/>
      <c r="I20" s="26"/>
      <c r="J20" s="26"/>
      <c r="K20" s="26"/>
      <c r="L20" s="27"/>
      <c r="M20" s="25"/>
      <c r="N20" s="26"/>
      <c r="O20" s="26"/>
      <c r="P20" s="26"/>
      <c r="Q20" s="27"/>
    </row>
  </sheetData>
  <mergeCells count="3">
    <mergeCell ref="B8:D9"/>
    <mergeCell ref="F8:F9"/>
    <mergeCell ref="H8:Q8"/>
  </mergeCells>
  <phoneticPr fontId="1"/>
  <dataValidations count="1">
    <dataValidation type="whole" allowBlank="1" showInputMessage="1" showErrorMessage="1" prompt="2: Spline_x000a_" sqref="B6" xr:uid="{00000000-0002-0000-06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nt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Int_Clear_2">
                <anchor moveWithCells="1" sizeWithCells="1">
                  <from>
                    <xdr:col>2</xdr:col>
                    <xdr:colOff>1403350</xdr:colOff>
                    <xdr:row>1</xdr:row>
                    <xdr:rowOff>165100</xdr:rowOff>
                  </from>
                  <to>
                    <xdr:col>3</xdr:col>
                    <xdr:colOff>1403350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F29"/>
  <sheetViews>
    <sheetView workbookViewId="0"/>
  </sheetViews>
  <sheetFormatPr defaultColWidth="8.90625" defaultRowHeight="13" x14ac:dyDescent="0.2"/>
  <cols>
    <col min="2" max="5" width="12.6328125" customWidth="1"/>
    <col min="6" max="6" width="14.6328125" customWidth="1"/>
  </cols>
  <sheetData>
    <row r="1" spans="1:6" x14ac:dyDescent="0.2">
      <c r="A1" s="78" t="s">
        <v>107</v>
      </c>
    </row>
    <row r="2" spans="1:6" x14ac:dyDescent="0.2">
      <c r="A2" s="84"/>
    </row>
    <row r="3" spans="1:6" x14ac:dyDescent="0.2">
      <c r="A3" s="84"/>
    </row>
    <row r="5" spans="1:6" x14ac:dyDescent="0.2">
      <c r="A5" s="1" t="s">
        <v>53</v>
      </c>
      <c r="B5" s="15">
        <v>9</v>
      </c>
      <c r="D5" t="s">
        <v>108</v>
      </c>
    </row>
    <row r="6" spans="1:6" x14ac:dyDescent="0.2">
      <c r="A6" s="1" t="s">
        <v>18</v>
      </c>
      <c r="B6" s="37">
        <v>2</v>
      </c>
    </row>
    <row r="7" spans="1:6" x14ac:dyDescent="0.2">
      <c r="D7" t="s">
        <v>225</v>
      </c>
    </row>
    <row r="8" spans="1:6" x14ac:dyDescent="0.2">
      <c r="A8" s="103"/>
      <c r="B8" s="99" t="s">
        <v>94</v>
      </c>
      <c r="C8" s="105"/>
      <c r="D8" s="99" t="s">
        <v>109</v>
      </c>
      <c r="E8" s="112"/>
      <c r="F8" s="101"/>
    </row>
    <row r="9" spans="1:6" x14ac:dyDescent="0.2">
      <c r="A9" s="104"/>
      <c r="B9" s="59" t="s">
        <v>110</v>
      </c>
      <c r="C9" s="60" t="s">
        <v>47</v>
      </c>
      <c r="D9" s="59" t="s">
        <v>111</v>
      </c>
      <c r="E9" s="93" t="s">
        <v>112</v>
      </c>
      <c r="F9" s="45" t="s">
        <v>113</v>
      </c>
    </row>
    <row r="10" spans="1:6" x14ac:dyDescent="0.2">
      <c r="A10" s="38">
        <v>1</v>
      </c>
      <c r="B10" s="13">
        <v>0</v>
      </c>
      <c r="C10" s="21">
        <f>1/(1+B10^2)</f>
        <v>1</v>
      </c>
      <c r="D10" s="13">
        <v>0</v>
      </c>
      <c r="E10" s="89">
        <v>4</v>
      </c>
      <c r="F10" s="38">
        <v>1.3233227825861418</v>
      </c>
    </row>
    <row r="11" spans="1:6" x14ac:dyDescent="0.2">
      <c r="A11" s="39">
        <v>2</v>
      </c>
      <c r="B11" s="22">
        <v>0.5</v>
      </c>
      <c r="C11" s="24">
        <f t="shared" ref="C11:C18" si="0">1/(1+B11^2)</f>
        <v>0.8</v>
      </c>
      <c r="D11" s="22">
        <v>0</v>
      </c>
      <c r="E11" s="90">
        <v>1</v>
      </c>
      <c r="F11" s="39">
        <v>0.78333333333333344</v>
      </c>
    </row>
    <row r="12" spans="1:6" x14ac:dyDescent="0.2">
      <c r="A12" s="39">
        <v>3</v>
      </c>
      <c r="B12" s="22">
        <v>1</v>
      </c>
      <c r="C12" s="24">
        <f t="shared" si="0"/>
        <v>0.5</v>
      </c>
      <c r="D12" s="22">
        <v>1</v>
      </c>
      <c r="E12" s="90">
        <v>2</v>
      </c>
      <c r="F12" s="39">
        <v>0.32134301039984969</v>
      </c>
    </row>
    <row r="13" spans="1:6" x14ac:dyDescent="0.2">
      <c r="A13" s="39">
        <v>4</v>
      </c>
      <c r="B13" s="22">
        <v>1.5</v>
      </c>
      <c r="C13" s="24">
        <f t="shared" si="0"/>
        <v>0.30769230769230771</v>
      </c>
      <c r="D13" s="22">
        <v>2</v>
      </c>
      <c r="E13" s="90">
        <v>3</v>
      </c>
      <c r="F13" s="39">
        <v>0.14186138520885944</v>
      </c>
    </row>
    <row r="14" spans="1:6" x14ac:dyDescent="0.2">
      <c r="A14" s="39">
        <v>5</v>
      </c>
      <c r="B14" s="22">
        <v>2</v>
      </c>
      <c r="C14" s="24">
        <f t="shared" si="0"/>
        <v>0.2</v>
      </c>
      <c r="D14" s="22">
        <v>3</v>
      </c>
      <c r="E14" s="90">
        <v>4</v>
      </c>
      <c r="F14" s="39">
        <v>7.6785053644099155E-2</v>
      </c>
    </row>
    <row r="15" spans="1:6" x14ac:dyDescent="0.2">
      <c r="A15" s="39">
        <v>6</v>
      </c>
      <c r="B15" s="22">
        <v>2.5</v>
      </c>
      <c r="C15" s="24">
        <f t="shared" si="0"/>
        <v>0.13793103448275862</v>
      </c>
      <c r="D15" s="22"/>
      <c r="E15" s="90"/>
      <c r="F15" s="39"/>
    </row>
    <row r="16" spans="1:6" x14ac:dyDescent="0.2">
      <c r="A16" s="39">
        <v>7</v>
      </c>
      <c r="B16" s="22">
        <v>3</v>
      </c>
      <c r="C16" s="24">
        <f t="shared" si="0"/>
        <v>0.1</v>
      </c>
      <c r="D16" s="22"/>
      <c r="E16" s="90"/>
      <c r="F16" s="39"/>
    </row>
    <row r="17" spans="1:6" x14ac:dyDescent="0.2">
      <c r="A17" s="39">
        <v>8</v>
      </c>
      <c r="B17" s="22">
        <v>3.5</v>
      </c>
      <c r="C17" s="24">
        <f t="shared" si="0"/>
        <v>7.5471698113207544E-2</v>
      </c>
      <c r="D17" s="22"/>
      <c r="E17" s="90"/>
      <c r="F17" s="39"/>
    </row>
    <row r="18" spans="1:6" x14ac:dyDescent="0.2">
      <c r="A18" s="39">
        <v>9</v>
      </c>
      <c r="B18" s="22">
        <v>4</v>
      </c>
      <c r="C18" s="24">
        <f t="shared" si="0"/>
        <v>5.8823529411764705E-2</v>
      </c>
      <c r="D18" s="22"/>
      <c r="E18" s="90"/>
      <c r="F18" s="39"/>
    </row>
    <row r="19" spans="1:6" x14ac:dyDescent="0.2">
      <c r="A19" s="40">
        <v>10</v>
      </c>
      <c r="B19" s="25"/>
      <c r="C19" s="27"/>
      <c r="D19" s="25"/>
      <c r="E19" s="91"/>
      <c r="F19" s="40"/>
    </row>
    <row r="20" spans="1:6" x14ac:dyDescent="0.2">
      <c r="A20" s="38">
        <v>11</v>
      </c>
      <c r="B20" s="13"/>
      <c r="C20" s="21"/>
      <c r="D20" s="13"/>
      <c r="E20" s="89"/>
      <c r="F20" s="38"/>
    </row>
    <row r="21" spans="1:6" x14ac:dyDescent="0.2">
      <c r="A21" s="39">
        <v>12</v>
      </c>
      <c r="B21" s="22"/>
      <c r="C21" s="24"/>
      <c r="D21" s="22"/>
      <c r="E21" s="90"/>
      <c r="F21" s="39"/>
    </row>
    <row r="22" spans="1:6" x14ac:dyDescent="0.2">
      <c r="A22" s="39">
        <v>13</v>
      </c>
      <c r="B22" s="22"/>
      <c r="C22" s="24"/>
      <c r="D22" s="22"/>
      <c r="E22" s="90"/>
      <c r="F22" s="39"/>
    </row>
    <row r="23" spans="1:6" x14ac:dyDescent="0.2">
      <c r="A23" s="39">
        <v>14</v>
      </c>
      <c r="B23" s="22"/>
      <c r="C23" s="24"/>
      <c r="D23" s="22"/>
      <c r="E23" s="90"/>
      <c r="F23" s="39"/>
    </row>
    <row r="24" spans="1:6" x14ac:dyDescent="0.2">
      <c r="A24" s="39">
        <v>15</v>
      </c>
      <c r="B24" s="22"/>
      <c r="C24" s="24"/>
      <c r="D24" s="22"/>
      <c r="E24" s="90"/>
      <c r="F24" s="39"/>
    </row>
    <row r="25" spans="1:6" x14ac:dyDescent="0.2">
      <c r="A25" s="39">
        <v>16</v>
      </c>
      <c r="B25" s="22"/>
      <c r="C25" s="24"/>
      <c r="D25" s="22"/>
      <c r="E25" s="90"/>
      <c r="F25" s="39"/>
    </row>
    <row r="26" spans="1:6" x14ac:dyDescent="0.2">
      <c r="A26" s="39">
        <v>17</v>
      </c>
      <c r="B26" s="22"/>
      <c r="C26" s="24"/>
      <c r="D26" s="22"/>
      <c r="E26" s="90"/>
      <c r="F26" s="39"/>
    </row>
    <row r="27" spans="1:6" x14ac:dyDescent="0.2">
      <c r="A27" s="39">
        <v>18</v>
      </c>
      <c r="B27" s="22"/>
      <c r="C27" s="24"/>
      <c r="D27" s="22"/>
      <c r="E27" s="90"/>
      <c r="F27" s="39"/>
    </row>
    <row r="28" spans="1:6" x14ac:dyDescent="0.2">
      <c r="A28" s="39">
        <v>19</v>
      </c>
      <c r="B28" s="22"/>
      <c r="C28" s="24"/>
      <c r="D28" s="22"/>
      <c r="E28" s="90"/>
      <c r="F28" s="39"/>
    </row>
    <row r="29" spans="1:6" x14ac:dyDescent="0.2">
      <c r="A29" s="40">
        <v>20</v>
      </c>
      <c r="B29" s="25"/>
      <c r="C29" s="27"/>
      <c r="D29" s="25"/>
      <c r="E29" s="91"/>
      <c r="F29" s="40"/>
    </row>
  </sheetData>
  <mergeCells count="3">
    <mergeCell ref="A8:A9"/>
    <mergeCell ref="B8:C8"/>
    <mergeCell ref="D8:F8"/>
  </mergeCells>
  <phoneticPr fontId="1"/>
  <dataValidations count="1">
    <dataValidation type="whole" allowBlank="1" showInputMessage="1" showErrorMessage="1" prompt="2: Spline" sqref="B6" xr:uid="{00000000-0002-0000-07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t_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1365250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Int_Clear_3">
                <anchor moveWithCells="1" sizeWithCells="1">
                  <from>
                    <xdr:col>2</xdr:col>
                    <xdr:colOff>1403350</xdr:colOff>
                    <xdr:row>1</xdr:row>
                    <xdr:rowOff>165100</xdr:rowOff>
                  </from>
                  <to>
                    <xdr:col>3</xdr:col>
                    <xdr:colOff>1403350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G2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7" width="14.36328125" customWidth="1"/>
  </cols>
  <sheetData>
    <row r="1" spans="1:7" x14ac:dyDescent="0.2">
      <c r="A1" s="14" t="s">
        <v>163</v>
      </c>
    </row>
    <row r="2" spans="1:7" x14ac:dyDescent="0.2">
      <c r="A2" s="14"/>
    </row>
    <row r="3" spans="1:7" x14ac:dyDescent="0.2">
      <c r="A3" s="16"/>
      <c r="F3" t="s">
        <v>164</v>
      </c>
    </row>
    <row r="5" spans="1:7" x14ac:dyDescent="0.2">
      <c r="A5" t="s">
        <v>139</v>
      </c>
      <c r="D5" t="s">
        <v>226</v>
      </c>
    </row>
    <row r="6" spans="1:7" x14ac:dyDescent="0.2">
      <c r="A6" s="1" t="s">
        <v>165</v>
      </c>
      <c r="B6" s="58">
        <v>1E-10</v>
      </c>
      <c r="D6" s="59" t="s">
        <v>3</v>
      </c>
      <c r="E6" s="60" t="s">
        <v>4</v>
      </c>
      <c r="F6" s="45" t="s">
        <v>167</v>
      </c>
      <c r="G6" s="45" t="s">
        <v>168</v>
      </c>
    </row>
    <row r="7" spans="1:7" x14ac:dyDescent="0.2">
      <c r="C7" s="61"/>
      <c r="D7" s="13">
        <v>1</v>
      </c>
      <c r="E7" s="21">
        <v>3</v>
      </c>
      <c r="F7" s="38">
        <v>10</v>
      </c>
      <c r="G7" s="38">
        <v>2.0945514814433284</v>
      </c>
    </row>
    <row r="8" spans="1:7" x14ac:dyDescent="0.2">
      <c r="A8" t="s">
        <v>166</v>
      </c>
      <c r="D8" s="22">
        <v>0</v>
      </c>
      <c r="E8" s="24">
        <v>10</v>
      </c>
      <c r="F8" s="39">
        <v>15</v>
      </c>
      <c r="G8" s="39">
        <v>2.094551481642319</v>
      </c>
    </row>
    <row r="9" spans="1:7" x14ac:dyDescent="0.2">
      <c r="A9" s="1" t="s">
        <v>5</v>
      </c>
      <c r="B9" s="37">
        <v>2.0945514814481587</v>
      </c>
      <c r="D9" s="22">
        <v>0</v>
      </c>
      <c r="E9" s="24">
        <v>100</v>
      </c>
      <c r="F9" s="39">
        <v>20</v>
      </c>
      <c r="G9" s="39">
        <v>2.0945514814481587</v>
      </c>
    </row>
    <row r="10" spans="1:7" x14ac:dyDescent="0.2">
      <c r="A10" s="1" t="s">
        <v>6</v>
      </c>
      <c r="B10" s="15">
        <f>B9^3 -2*B9-5</f>
        <v>-1.0510490255910554E-9</v>
      </c>
      <c r="D10" s="22"/>
      <c r="E10" s="24"/>
      <c r="F10" s="39"/>
      <c r="G10" s="39"/>
    </row>
    <row r="11" spans="1:7" x14ac:dyDescent="0.2">
      <c r="D11" s="22"/>
      <c r="E11" s="24"/>
      <c r="F11" s="39"/>
      <c r="G11" s="39"/>
    </row>
    <row r="12" spans="1:7" x14ac:dyDescent="0.2">
      <c r="A12" s="73" t="s">
        <v>142</v>
      </c>
      <c r="D12" s="22"/>
      <c r="E12" s="24"/>
      <c r="F12" s="39"/>
      <c r="G12" s="39"/>
    </row>
    <row r="13" spans="1:7" x14ac:dyDescent="0.2">
      <c r="A13" s="1" t="s">
        <v>219</v>
      </c>
      <c r="B13" s="15">
        <v>0</v>
      </c>
      <c r="D13" s="22"/>
      <c r="E13" s="24"/>
      <c r="F13" s="39"/>
      <c r="G13" s="39"/>
    </row>
    <row r="14" spans="1:7" x14ac:dyDescent="0.2">
      <c r="D14" s="22"/>
      <c r="E14" s="24"/>
      <c r="F14" s="39"/>
      <c r="G14" s="39"/>
    </row>
    <row r="15" spans="1:7" x14ac:dyDescent="0.2">
      <c r="D15" s="22"/>
      <c r="E15" s="24"/>
      <c r="F15" s="39"/>
      <c r="G15" s="39"/>
    </row>
    <row r="16" spans="1:7" x14ac:dyDescent="0.2">
      <c r="D16" s="25"/>
      <c r="E16" s="27"/>
      <c r="F16" s="40"/>
      <c r="G16" s="40"/>
    </row>
    <row r="17" spans="4:7" x14ac:dyDescent="0.2">
      <c r="D17" s="62"/>
      <c r="E17" s="63"/>
      <c r="F17" s="64"/>
      <c r="G17" s="64"/>
    </row>
    <row r="18" spans="4:7" x14ac:dyDescent="0.2">
      <c r="D18" s="22"/>
      <c r="E18" s="24"/>
      <c r="F18" s="39"/>
      <c r="G18" s="39"/>
    </row>
    <row r="19" spans="4:7" x14ac:dyDescent="0.2">
      <c r="D19" s="22"/>
      <c r="E19" s="24"/>
      <c r="F19" s="39"/>
      <c r="G19" s="39"/>
    </row>
    <row r="20" spans="4:7" x14ac:dyDescent="0.2">
      <c r="D20" s="22"/>
      <c r="E20" s="24"/>
      <c r="F20" s="39"/>
      <c r="G20" s="39"/>
    </row>
    <row r="21" spans="4:7" x14ac:dyDescent="0.2">
      <c r="D21" s="22"/>
      <c r="E21" s="24"/>
      <c r="F21" s="39"/>
      <c r="G21" s="39"/>
    </row>
    <row r="22" spans="4:7" x14ac:dyDescent="0.2">
      <c r="D22" s="22"/>
      <c r="E22" s="24"/>
      <c r="F22" s="39"/>
      <c r="G22" s="39"/>
    </row>
    <row r="23" spans="4:7" x14ac:dyDescent="0.2">
      <c r="D23" s="22"/>
      <c r="E23" s="24"/>
      <c r="F23" s="39"/>
      <c r="G23" s="39"/>
    </row>
    <row r="24" spans="4:7" x14ac:dyDescent="0.2">
      <c r="D24" s="22"/>
      <c r="E24" s="24"/>
      <c r="F24" s="39"/>
      <c r="G24" s="39"/>
    </row>
    <row r="25" spans="4:7" x14ac:dyDescent="0.2">
      <c r="D25" s="22"/>
      <c r="E25" s="24"/>
      <c r="F25" s="39"/>
      <c r="G25" s="39"/>
    </row>
    <row r="26" spans="4:7" x14ac:dyDescent="0.2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Callback version_x000a_1: Reverse communication version" sqref="B13" xr:uid="{7F8B13AC-78CA-4993-BFD0-7EE45AB98139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Nleq_Clear_1">
                <anchor moveWithCells="1" sizeWithCells="1">
                  <from>
                    <xdr:col>2</xdr:col>
                    <xdr:colOff>850900</xdr:colOff>
                    <xdr:row>1</xdr:row>
                    <xdr:rowOff>152400</xdr:rowOff>
                  </from>
                  <to>
                    <xdr:col>3</xdr:col>
                    <xdr:colOff>1098550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Nleq_Start_1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L56"/>
  <sheetViews>
    <sheetView workbookViewId="0"/>
  </sheetViews>
  <sheetFormatPr defaultColWidth="8.90625" defaultRowHeight="13" x14ac:dyDescent="0.2"/>
  <cols>
    <col min="1" max="1" width="14.6328125" customWidth="1"/>
    <col min="2" max="5" width="10.6328125" customWidth="1"/>
    <col min="6" max="6" width="4.6328125" customWidth="1"/>
    <col min="7" max="8" width="5.6328125" customWidth="1"/>
    <col min="9" max="12" width="11.6328125" customWidth="1"/>
  </cols>
  <sheetData>
    <row r="1" spans="1:12" x14ac:dyDescent="0.2">
      <c r="A1" s="14" t="s">
        <v>169</v>
      </c>
    </row>
    <row r="2" spans="1:12" x14ac:dyDescent="0.2">
      <c r="A2" s="14"/>
    </row>
    <row r="3" spans="1:12" x14ac:dyDescent="0.2">
      <c r="A3" s="16"/>
    </row>
    <row r="5" spans="1:12" x14ac:dyDescent="0.2">
      <c r="A5" t="s">
        <v>170</v>
      </c>
      <c r="G5" t="s">
        <v>227</v>
      </c>
    </row>
    <row r="6" spans="1:12" x14ac:dyDescent="0.2">
      <c r="A6" s="1" t="s">
        <v>165</v>
      </c>
      <c r="B6" s="58">
        <v>1E-10</v>
      </c>
      <c r="G6" s="45" t="s">
        <v>7</v>
      </c>
      <c r="H6" s="45" t="s">
        <v>8</v>
      </c>
      <c r="I6" s="45" t="s">
        <v>9</v>
      </c>
      <c r="J6" s="45" t="s">
        <v>10</v>
      </c>
      <c r="K6" s="45" t="s">
        <v>11</v>
      </c>
      <c r="L6" s="45" t="s">
        <v>12</v>
      </c>
    </row>
    <row r="7" spans="1:12" x14ac:dyDescent="0.2">
      <c r="A7" s="1" t="s">
        <v>171</v>
      </c>
      <c r="B7" s="15">
        <v>1</v>
      </c>
      <c r="C7" s="61"/>
      <c r="F7" s="61" t="s">
        <v>177</v>
      </c>
      <c r="G7" s="38"/>
      <c r="H7" s="38"/>
      <c r="I7" s="17">
        <v>0</v>
      </c>
      <c r="J7" s="17">
        <v>0</v>
      </c>
      <c r="K7" s="17"/>
      <c r="L7" s="17"/>
    </row>
    <row r="8" spans="1:12" x14ac:dyDescent="0.2">
      <c r="A8" s="1" t="s">
        <v>172</v>
      </c>
      <c r="B8" s="37">
        <v>0</v>
      </c>
      <c r="G8" s="39">
        <v>3</v>
      </c>
      <c r="H8" s="39">
        <v>0</v>
      </c>
      <c r="I8" s="39">
        <v>87.157553712454927</v>
      </c>
      <c r="J8" s="39">
        <v>49.026123963255898</v>
      </c>
      <c r="K8" s="39"/>
      <c r="L8" s="39"/>
    </row>
    <row r="9" spans="1:12" x14ac:dyDescent="0.2">
      <c r="G9" s="39">
        <v>4</v>
      </c>
      <c r="H9" s="39">
        <v>0</v>
      </c>
      <c r="I9" s="39">
        <v>-24.467462855275439</v>
      </c>
      <c r="J9" s="39">
        <v>43.604394978324343</v>
      </c>
      <c r="K9" s="39"/>
      <c r="L9" s="39"/>
    </row>
    <row r="10" spans="1:12" x14ac:dyDescent="0.2">
      <c r="A10" t="s">
        <v>166</v>
      </c>
      <c r="G10" s="39">
        <v>7</v>
      </c>
      <c r="H10" s="39">
        <v>0</v>
      </c>
      <c r="I10" s="39">
        <v>87.157553712454927</v>
      </c>
      <c r="J10" s="39">
        <v>49.026123963255898</v>
      </c>
      <c r="K10" s="39"/>
      <c r="L10" s="39"/>
    </row>
    <row r="11" spans="1:12" x14ac:dyDescent="0.2">
      <c r="A11" s="65" t="s">
        <v>173</v>
      </c>
      <c r="B11" s="66">
        <v>2</v>
      </c>
      <c r="G11" s="39">
        <v>8</v>
      </c>
      <c r="H11" s="39">
        <v>0</v>
      </c>
      <c r="I11" s="39">
        <v>-24.467462855275439</v>
      </c>
      <c r="J11" s="39">
        <v>43.604394978324343</v>
      </c>
      <c r="K11" s="39"/>
      <c r="L11" s="39"/>
    </row>
    <row r="12" spans="1:12" x14ac:dyDescent="0.2">
      <c r="A12" s="1" t="s">
        <v>174</v>
      </c>
      <c r="B12" s="67">
        <v>1</v>
      </c>
      <c r="C12" s="68">
        <v>2</v>
      </c>
      <c r="D12" s="68">
        <v>3</v>
      </c>
      <c r="E12" s="69">
        <v>4</v>
      </c>
      <c r="G12" s="39">
        <v>9</v>
      </c>
      <c r="H12" s="39">
        <v>0</v>
      </c>
      <c r="I12" s="39">
        <v>-8.1743671902731393E-2</v>
      </c>
      <c r="J12" s="39">
        <v>0.15267787292509302</v>
      </c>
      <c r="K12" s="39"/>
      <c r="L12" s="39"/>
    </row>
    <row r="13" spans="1:12" x14ac:dyDescent="0.2">
      <c r="A13" s="1" t="s">
        <v>14</v>
      </c>
      <c r="B13" s="67">
        <v>-1.5275252316519465</v>
      </c>
      <c r="C13" s="68">
        <v>2.5819888974716112</v>
      </c>
      <c r="D13" s="68"/>
      <c r="E13" s="69"/>
      <c r="G13" s="39">
        <v>10</v>
      </c>
      <c r="H13" s="39">
        <v>0</v>
      </c>
      <c r="I13" s="39">
        <v>-6.8137659286289717E-2</v>
      </c>
      <c r="J13" s="39">
        <v>0.23819405042940675</v>
      </c>
      <c r="K13" s="39"/>
      <c r="L13" s="39"/>
    </row>
    <row r="14" spans="1:12" x14ac:dyDescent="0.2">
      <c r="A14" s="1" t="s">
        <v>15</v>
      </c>
      <c r="B14" s="70">
        <f>4*B13^2+C13^2-16</f>
        <v>0</v>
      </c>
      <c r="C14" s="71">
        <f>B13^2+C13^2-9</f>
        <v>0</v>
      </c>
      <c r="D14" s="71"/>
      <c r="E14" s="72"/>
      <c r="G14" s="39">
        <v>11</v>
      </c>
      <c r="H14" s="39">
        <v>0</v>
      </c>
      <c r="I14" s="39">
        <v>-2.5368535998477451E-2</v>
      </c>
      <c r="J14" s="39">
        <v>0.23146076432536145</v>
      </c>
      <c r="K14" s="39"/>
      <c r="L14" s="39"/>
    </row>
    <row r="15" spans="1:12" x14ac:dyDescent="0.2">
      <c r="G15" s="39">
        <v>12</v>
      </c>
      <c r="H15" s="39">
        <v>0</v>
      </c>
      <c r="I15" s="39">
        <v>-8.9522220930195837E-2</v>
      </c>
      <c r="J15" s="39">
        <v>0.2415606934814295</v>
      </c>
      <c r="K15" s="39"/>
      <c r="L15" s="39"/>
    </row>
    <row r="16" spans="1:12" x14ac:dyDescent="0.2">
      <c r="B16" t="s">
        <v>176</v>
      </c>
      <c r="G16" s="40">
        <v>13</v>
      </c>
      <c r="H16" s="40">
        <v>0</v>
      </c>
      <c r="I16" s="40">
        <v>-0.13229092604233331</v>
      </c>
      <c r="J16" s="40">
        <v>0.24829663525656684</v>
      </c>
      <c r="K16" s="40"/>
      <c r="L16" s="40"/>
    </row>
    <row r="17" spans="1:12" x14ac:dyDescent="0.2">
      <c r="B17" s="73" t="s">
        <v>16</v>
      </c>
      <c r="G17" s="64">
        <v>14</v>
      </c>
      <c r="H17" s="64">
        <v>0</v>
      </c>
      <c r="I17" s="64">
        <v>-0.21782649251163996</v>
      </c>
      <c r="J17" s="64">
        <v>0.26178022020430547</v>
      </c>
      <c r="K17" s="64"/>
      <c r="L17" s="64"/>
    </row>
    <row r="18" spans="1:12" x14ac:dyDescent="0.2">
      <c r="B18" t="s">
        <v>17</v>
      </c>
      <c r="G18" s="39">
        <v>15</v>
      </c>
      <c r="H18" s="39">
        <v>0</v>
      </c>
      <c r="I18" s="39">
        <v>-0.38888952187047798</v>
      </c>
      <c r="J18" s="39">
        <v>0.28879874650848358</v>
      </c>
      <c r="K18" s="39"/>
      <c r="L18" s="39"/>
    </row>
    <row r="19" spans="1:12" x14ac:dyDescent="0.2">
      <c r="G19" s="39">
        <v>16</v>
      </c>
      <c r="H19" s="39">
        <v>0</v>
      </c>
      <c r="I19" s="39">
        <v>-0.73097989824211707</v>
      </c>
      <c r="J19" s="39">
        <v>0.3430612335709034</v>
      </c>
      <c r="K19" s="39"/>
      <c r="L19" s="39"/>
    </row>
    <row r="20" spans="1:12" x14ac:dyDescent="0.2">
      <c r="A20" s="73" t="s">
        <v>175</v>
      </c>
      <c r="G20" s="39">
        <v>17</v>
      </c>
      <c r="H20" s="39">
        <v>0</v>
      </c>
      <c r="I20" s="39">
        <v>-1.4149916444587118</v>
      </c>
      <c r="J20" s="39">
        <v>0.45264637613539727</v>
      </c>
      <c r="K20" s="39"/>
      <c r="L20" s="39"/>
    </row>
    <row r="21" spans="1:12" x14ac:dyDescent="0.2">
      <c r="A21" s="1" t="s">
        <v>18</v>
      </c>
      <c r="B21" s="37">
        <v>3</v>
      </c>
      <c r="G21" s="39">
        <v>18</v>
      </c>
      <c r="H21" s="39">
        <v>0</v>
      </c>
      <c r="I21" s="39">
        <v>-2.3069478755457844</v>
      </c>
      <c r="J21" s="39">
        <v>1.5128057846950571</v>
      </c>
      <c r="K21" s="39"/>
      <c r="L21" s="39"/>
    </row>
    <row r="22" spans="1:12" x14ac:dyDescent="0.2">
      <c r="A22" s="1" t="s">
        <v>219</v>
      </c>
      <c r="B22" s="15">
        <v>0</v>
      </c>
      <c r="G22" s="39">
        <v>19</v>
      </c>
      <c r="H22" s="39">
        <v>0</v>
      </c>
      <c r="I22" s="39">
        <v>-0.74928781280081957</v>
      </c>
      <c r="J22" s="39">
        <v>3.8044843589850563</v>
      </c>
      <c r="K22" s="39"/>
      <c r="L22" s="39"/>
    </row>
    <row r="23" spans="1:12" x14ac:dyDescent="0.2">
      <c r="G23" s="39">
        <v>20</v>
      </c>
      <c r="H23" s="39">
        <v>0</v>
      </c>
      <c r="I23" s="39">
        <v>-1.3521521608969334</v>
      </c>
      <c r="J23" s="39">
        <v>2.2185275873297234</v>
      </c>
      <c r="K23" s="39"/>
      <c r="L23" s="39"/>
    </row>
    <row r="24" spans="1:12" x14ac:dyDescent="0.2">
      <c r="G24" s="39">
        <v>21</v>
      </c>
      <c r="H24" s="39">
        <v>0</v>
      </c>
      <c r="I24" s="39">
        <v>-1.4709119411371869</v>
      </c>
      <c r="J24" s="39">
        <v>2.5797270821975262</v>
      </c>
      <c r="K24" s="39"/>
      <c r="L24" s="39"/>
    </row>
    <row r="25" spans="1:12" x14ac:dyDescent="0.2">
      <c r="G25" s="39">
        <v>22</v>
      </c>
      <c r="H25" s="39">
        <v>0</v>
      </c>
      <c r="I25" s="39">
        <v>-1.5285773555871753</v>
      </c>
      <c r="J25" s="39">
        <v>2.6001257621725946</v>
      </c>
      <c r="K25" s="39"/>
      <c r="L25" s="39"/>
    </row>
    <row r="26" spans="1:12" x14ac:dyDescent="0.2">
      <c r="G26" s="40">
        <v>23</v>
      </c>
      <c r="H26" s="40">
        <v>0</v>
      </c>
      <c r="I26" s="40">
        <v>-1.5273626814157995</v>
      </c>
      <c r="J26" s="40">
        <v>2.5840554758372924</v>
      </c>
      <c r="K26" s="40"/>
      <c r="L26" s="40"/>
    </row>
    <row r="27" spans="1:12" x14ac:dyDescent="0.2">
      <c r="G27" s="64">
        <v>24</v>
      </c>
      <c r="H27" s="64">
        <v>0</v>
      </c>
      <c r="I27" s="64">
        <v>-1.5275298511831874</v>
      </c>
      <c r="J27" s="64">
        <v>2.5820142928474041</v>
      </c>
      <c r="K27" s="64"/>
      <c r="L27" s="64"/>
    </row>
    <row r="28" spans="1:12" x14ac:dyDescent="0.2">
      <c r="G28" s="39">
        <v>25</v>
      </c>
      <c r="H28" s="39">
        <v>0</v>
      </c>
      <c r="I28" s="39">
        <v>-1.5275251356911914</v>
      </c>
      <c r="J28" s="39">
        <v>2.5819885274640346</v>
      </c>
      <c r="K28" s="39"/>
      <c r="L28" s="39"/>
    </row>
    <row r="29" spans="1:12" x14ac:dyDescent="0.2">
      <c r="G29" s="39">
        <v>26</v>
      </c>
      <c r="H29" s="39">
        <v>0</v>
      </c>
      <c r="I29" s="39">
        <v>-1.5275252320321093</v>
      </c>
      <c r="J29" s="39">
        <v>2.5819888989772197</v>
      </c>
      <c r="K29" s="39"/>
      <c r="L29" s="39"/>
    </row>
    <row r="30" spans="1:12" x14ac:dyDescent="0.2">
      <c r="G30" s="39">
        <v>27</v>
      </c>
      <c r="H30" s="39">
        <v>0</v>
      </c>
      <c r="I30" s="39">
        <v>-1.527525231652082</v>
      </c>
      <c r="J30" s="39">
        <v>2.5819888974721472</v>
      </c>
      <c r="K30" s="39"/>
      <c r="L30" s="39"/>
    </row>
    <row r="31" spans="1:12" x14ac:dyDescent="0.2">
      <c r="G31" s="39">
        <v>28</v>
      </c>
      <c r="H31" s="39">
        <v>0</v>
      </c>
      <c r="I31" s="39">
        <v>-1.5275252316519465</v>
      </c>
      <c r="J31" s="39">
        <v>2.5819888974716112</v>
      </c>
      <c r="K31" s="39"/>
      <c r="L31" s="39"/>
    </row>
    <row r="32" spans="1:12" x14ac:dyDescent="0.2">
      <c r="G32" s="39">
        <v>29</v>
      </c>
      <c r="H32" s="39">
        <v>0</v>
      </c>
      <c r="I32" s="39">
        <v>-1.5275252316519465</v>
      </c>
      <c r="J32" s="39">
        <v>2.5819888974716112</v>
      </c>
      <c r="K32" s="39"/>
      <c r="L32" s="39"/>
    </row>
    <row r="33" spans="7:12" x14ac:dyDescent="0.2">
      <c r="G33" s="39"/>
      <c r="H33" s="39"/>
      <c r="I33" s="39"/>
      <c r="J33" s="39"/>
      <c r="K33" s="39"/>
      <c r="L33" s="39"/>
    </row>
    <row r="34" spans="7:12" x14ac:dyDescent="0.2">
      <c r="G34" s="39"/>
      <c r="H34" s="39"/>
      <c r="I34" s="39"/>
      <c r="J34" s="39"/>
      <c r="K34" s="39"/>
      <c r="L34" s="39"/>
    </row>
    <row r="35" spans="7:12" x14ac:dyDescent="0.2">
      <c r="G35" s="39"/>
      <c r="H35" s="39"/>
      <c r="I35" s="39"/>
      <c r="J35" s="39"/>
      <c r="K35" s="39"/>
      <c r="L35" s="39"/>
    </row>
    <row r="36" spans="7:12" x14ac:dyDescent="0.2">
      <c r="G36" s="40"/>
      <c r="H36" s="40"/>
      <c r="I36" s="40"/>
      <c r="J36" s="40"/>
      <c r="K36" s="40"/>
      <c r="L36" s="40"/>
    </row>
    <row r="37" spans="7:12" x14ac:dyDescent="0.2">
      <c r="G37" s="64"/>
      <c r="H37" s="64"/>
      <c r="I37" s="64"/>
      <c r="J37" s="64"/>
      <c r="K37" s="64"/>
      <c r="L37" s="64"/>
    </row>
    <row r="38" spans="7:12" x14ac:dyDescent="0.2">
      <c r="G38" s="39"/>
      <c r="H38" s="39"/>
      <c r="I38" s="39"/>
      <c r="J38" s="39"/>
      <c r="K38" s="39"/>
      <c r="L38" s="39"/>
    </row>
    <row r="39" spans="7:12" x14ac:dyDescent="0.2">
      <c r="G39" s="39"/>
      <c r="H39" s="39"/>
      <c r="I39" s="39"/>
      <c r="J39" s="39"/>
      <c r="K39" s="39"/>
      <c r="L39" s="39"/>
    </row>
    <row r="40" spans="7:12" x14ac:dyDescent="0.2">
      <c r="G40" s="39"/>
      <c r="H40" s="39"/>
      <c r="I40" s="39"/>
      <c r="J40" s="39"/>
      <c r="K40" s="39"/>
      <c r="L40" s="39"/>
    </row>
    <row r="41" spans="7:12" x14ac:dyDescent="0.2">
      <c r="G41" s="39"/>
      <c r="H41" s="39"/>
      <c r="I41" s="39"/>
      <c r="J41" s="39"/>
      <c r="K41" s="39"/>
      <c r="L41" s="39"/>
    </row>
    <row r="42" spans="7:12" x14ac:dyDescent="0.2">
      <c r="G42" s="39"/>
      <c r="H42" s="39"/>
      <c r="I42" s="39"/>
      <c r="J42" s="39"/>
      <c r="K42" s="39"/>
      <c r="L42" s="39"/>
    </row>
    <row r="43" spans="7:12" x14ac:dyDescent="0.2">
      <c r="G43" s="39"/>
      <c r="H43" s="39"/>
      <c r="I43" s="39"/>
      <c r="J43" s="39"/>
      <c r="K43" s="39"/>
      <c r="L43" s="39"/>
    </row>
    <row r="44" spans="7:12" x14ac:dyDescent="0.2">
      <c r="G44" s="39"/>
      <c r="H44" s="39"/>
      <c r="I44" s="39"/>
      <c r="J44" s="39"/>
      <c r="K44" s="39"/>
      <c r="L44" s="39"/>
    </row>
    <row r="45" spans="7:12" x14ac:dyDescent="0.2">
      <c r="G45" s="39"/>
      <c r="H45" s="39"/>
      <c r="I45" s="39"/>
      <c r="J45" s="39"/>
      <c r="K45" s="39"/>
      <c r="L45" s="39"/>
    </row>
    <row r="46" spans="7:12" x14ac:dyDescent="0.2">
      <c r="G46" s="40"/>
      <c r="H46" s="40"/>
      <c r="I46" s="40"/>
      <c r="J46" s="40"/>
      <c r="K46" s="40"/>
      <c r="L46" s="40"/>
    </row>
    <row r="47" spans="7:12" x14ac:dyDescent="0.2">
      <c r="G47" s="64"/>
      <c r="H47" s="64"/>
      <c r="I47" s="64"/>
      <c r="J47" s="64"/>
      <c r="K47" s="64"/>
      <c r="L47" s="64"/>
    </row>
    <row r="48" spans="7:12" x14ac:dyDescent="0.2">
      <c r="G48" s="39"/>
      <c r="H48" s="39"/>
      <c r="I48" s="39"/>
      <c r="J48" s="39"/>
      <c r="K48" s="39"/>
      <c r="L48" s="39"/>
    </row>
    <row r="49" spans="7:12" x14ac:dyDescent="0.2">
      <c r="G49" s="39"/>
      <c r="H49" s="39"/>
      <c r="I49" s="39"/>
      <c r="J49" s="39"/>
      <c r="K49" s="39"/>
      <c r="L49" s="39"/>
    </row>
    <row r="50" spans="7:12" x14ac:dyDescent="0.2">
      <c r="G50" s="39"/>
      <c r="H50" s="39"/>
      <c r="I50" s="39"/>
      <c r="J50" s="39"/>
      <c r="K50" s="39"/>
      <c r="L50" s="39"/>
    </row>
    <row r="51" spans="7:12" x14ac:dyDescent="0.2">
      <c r="G51" s="39"/>
      <c r="H51" s="39"/>
      <c r="I51" s="39"/>
      <c r="J51" s="39"/>
      <c r="K51" s="39"/>
      <c r="L51" s="39"/>
    </row>
    <row r="52" spans="7:12" x14ac:dyDescent="0.2">
      <c r="G52" s="39"/>
      <c r="H52" s="39"/>
      <c r="I52" s="39"/>
      <c r="J52" s="39"/>
      <c r="K52" s="39"/>
      <c r="L52" s="39"/>
    </row>
    <row r="53" spans="7:12" x14ac:dyDescent="0.2">
      <c r="G53" s="39"/>
      <c r="H53" s="39"/>
      <c r="I53" s="39"/>
      <c r="J53" s="39"/>
      <c r="K53" s="39"/>
      <c r="L53" s="39"/>
    </row>
    <row r="54" spans="7:12" x14ac:dyDescent="0.2">
      <c r="G54" s="39"/>
      <c r="H54" s="39"/>
      <c r="I54" s="39"/>
      <c r="J54" s="39"/>
      <c r="K54" s="39"/>
      <c r="L54" s="39"/>
    </row>
    <row r="55" spans="7:12" x14ac:dyDescent="0.2">
      <c r="G55" s="39"/>
      <c r="H55" s="39"/>
      <c r="I55" s="39"/>
      <c r="J55" s="39"/>
      <c r="K55" s="39"/>
      <c r="L55" s="39"/>
    </row>
    <row r="56" spans="7:12" x14ac:dyDescent="0.2">
      <c r="G56" s="40"/>
      <c r="H56" s="40"/>
      <c r="I56" s="40"/>
      <c r="J56" s="40"/>
      <c r="K56" s="40"/>
      <c r="L56" s="40"/>
    </row>
  </sheetData>
  <phoneticPr fontId="1"/>
  <dataValidations count="4">
    <dataValidation type="whole" allowBlank="1" showInputMessage="1" showErrorMessage="1" prompt="3: Hybrd1_x000a_" sqref="B21" xr:uid="{00000000-0002-0000-0900-000000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0900-000001000000}">
      <formula1>0</formula1>
    </dataValidation>
    <dataValidation type="whole" allowBlank="1" showInputMessage="1" showErrorMessage="1" sqref="B11" xr:uid="{00000000-0002-0000-0900-000002000000}">
      <formula1>1</formula1>
      <formula2>4</formula2>
    </dataValidation>
    <dataValidation type="whole" allowBlank="1" showInputMessage="1" showErrorMessage="1" prompt="0: Callback version_x000a_1: Reverse communication version" sqref="B22" xr:uid="{4B47976A-09E4-4C59-AB7C-C7E3BC3731E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leq_Clear_2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Nleq_Start_2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G2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7" width="14.36328125" customWidth="1"/>
  </cols>
  <sheetData>
    <row r="1" spans="1:7" x14ac:dyDescent="0.2">
      <c r="A1" s="14" t="s">
        <v>184</v>
      </c>
    </row>
    <row r="2" spans="1:7" x14ac:dyDescent="0.2">
      <c r="A2" s="14"/>
    </row>
    <row r="3" spans="1:7" x14ac:dyDescent="0.2">
      <c r="A3" s="16"/>
      <c r="F3" t="s">
        <v>185</v>
      </c>
    </row>
    <row r="5" spans="1:7" x14ac:dyDescent="0.2">
      <c r="A5" t="s">
        <v>139</v>
      </c>
      <c r="D5" t="s">
        <v>224</v>
      </c>
    </row>
    <row r="6" spans="1:7" x14ac:dyDescent="0.2">
      <c r="A6" s="1" t="s">
        <v>2</v>
      </c>
      <c r="B6" s="58">
        <v>1E-10</v>
      </c>
      <c r="D6" s="59" t="s">
        <v>35</v>
      </c>
      <c r="E6" s="60" t="s">
        <v>36</v>
      </c>
      <c r="F6" s="45" t="s">
        <v>167</v>
      </c>
      <c r="G6" s="45" t="s">
        <v>186</v>
      </c>
    </row>
    <row r="7" spans="1:7" x14ac:dyDescent="0.2">
      <c r="C7" s="61"/>
      <c r="D7" s="13">
        <v>0</v>
      </c>
      <c r="E7" s="21">
        <v>1.5</v>
      </c>
      <c r="F7" s="38">
        <v>11</v>
      </c>
      <c r="G7" s="38">
        <v>0.81649658819445714</v>
      </c>
    </row>
    <row r="8" spans="1:7" x14ac:dyDescent="0.2">
      <c r="A8" t="s">
        <v>166</v>
      </c>
      <c r="D8" s="22">
        <v>0</v>
      </c>
      <c r="E8" s="24">
        <v>10</v>
      </c>
      <c r="F8" s="39">
        <v>15</v>
      </c>
      <c r="G8" s="39">
        <v>0.81649657263602626</v>
      </c>
    </row>
    <row r="9" spans="1:7" x14ac:dyDescent="0.2">
      <c r="A9" s="1" t="s">
        <v>37</v>
      </c>
      <c r="B9" s="37">
        <v>0.81649656377356528</v>
      </c>
      <c r="D9" s="22">
        <v>0</v>
      </c>
      <c r="E9" s="24">
        <v>100</v>
      </c>
      <c r="F9" s="39">
        <v>23</v>
      </c>
      <c r="G9" s="39">
        <v>0.816496572410088</v>
      </c>
    </row>
    <row r="10" spans="1:7" x14ac:dyDescent="0.2">
      <c r="A10" s="1" t="s">
        <v>6</v>
      </c>
      <c r="B10" s="15">
        <f>B9^3 -2*B9-5</f>
        <v>-6.0886621079036338</v>
      </c>
      <c r="D10" s="22"/>
      <c r="E10" s="24"/>
      <c r="F10" s="39"/>
      <c r="G10" s="39"/>
    </row>
    <row r="11" spans="1:7" x14ac:dyDescent="0.2">
      <c r="D11" s="22"/>
      <c r="E11" s="24"/>
      <c r="F11" s="39"/>
      <c r="G11" s="39"/>
    </row>
    <row r="12" spans="1:7" x14ac:dyDescent="0.2">
      <c r="A12" s="73" t="s">
        <v>142</v>
      </c>
      <c r="D12" s="22"/>
      <c r="E12" s="24"/>
      <c r="F12" s="39"/>
      <c r="G12" s="39"/>
    </row>
    <row r="13" spans="1:7" x14ac:dyDescent="0.2">
      <c r="A13" s="1" t="s">
        <v>219</v>
      </c>
      <c r="B13" s="15">
        <v>0</v>
      </c>
      <c r="D13" s="22"/>
      <c r="E13" s="24"/>
      <c r="F13" s="39"/>
      <c r="G13" s="39"/>
    </row>
    <row r="14" spans="1:7" x14ac:dyDescent="0.2">
      <c r="D14" s="22"/>
      <c r="E14" s="24"/>
      <c r="F14" s="39"/>
      <c r="G14" s="39"/>
    </row>
    <row r="15" spans="1:7" x14ac:dyDescent="0.2">
      <c r="D15" s="22"/>
      <c r="E15" s="24"/>
      <c r="F15" s="39"/>
      <c r="G15" s="39"/>
    </row>
    <row r="16" spans="1:7" x14ac:dyDescent="0.2">
      <c r="D16" s="25"/>
      <c r="E16" s="27"/>
      <c r="F16" s="40"/>
      <c r="G16" s="40"/>
    </row>
    <row r="17" spans="4:7" x14ac:dyDescent="0.2">
      <c r="D17" s="62"/>
      <c r="E17" s="63"/>
      <c r="F17" s="64"/>
      <c r="G17" s="64"/>
    </row>
    <row r="18" spans="4:7" x14ac:dyDescent="0.2">
      <c r="D18" s="22"/>
      <c r="E18" s="24"/>
      <c r="F18" s="39"/>
      <c r="G18" s="39"/>
    </row>
    <row r="19" spans="4:7" x14ac:dyDescent="0.2">
      <c r="D19" s="22"/>
      <c r="E19" s="24"/>
      <c r="F19" s="39"/>
      <c r="G19" s="39"/>
    </row>
    <row r="20" spans="4:7" x14ac:dyDescent="0.2">
      <c r="D20" s="22"/>
      <c r="E20" s="24"/>
      <c r="F20" s="39"/>
      <c r="G20" s="39"/>
    </row>
    <row r="21" spans="4:7" x14ac:dyDescent="0.2">
      <c r="D21" s="22"/>
      <c r="E21" s="24"/>
      <c r="F21" s="39"/>
      <c r="G21" s="39"/>
    </row>
    <row r="22" spans="4:7" x14ac:dyDescent="0.2">
      <c r="D22" s="22"/>
      <c r="E22" s="24"/>
      <c r="F22" s="39"/>
      <c r="G22" s="39"/>
    </row>
    <row r="23" spans="4:7" x14ac:dyDescent="0.2">
      <c r="D23" s="22"/>
      <c r="E23" s="24"/>
      <c r="F23" s="39"/>
      <c r="G23" s="39"/>
    </row>
    <row r="24" spans="4:7" x14ac:dyDescent="0.2">
      <c r="D24" s="22"/>
      <c r="E24" s="24"/>
      <c r="F24" s="39"/>
      <c r="G24" s="39"/>
    </row>
    <row r="25" spans="4:7" x14ac:dyDescent="0.2">
      <c r="D25" s="22"/>
      <c r="E25" s="24"/>
      <c r="F25" s="39"/>
      <c r="G25" s="39"/>
    </row>
    <row r="26" spans="4:7" x14ac:dyDescent="0.2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Callback version_x000a_1: Reverse communication version" sqref="B13" xr:uid="{096DF4DD-5B6B-457B-B882-5C9DBD9E206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t_Clear_1">
                <anchor moveWithCells="1" sizeWithCells="1">
                  <from>
                    <xdr:col>2</xdr:col>
                    <xdr:colOff>850900</xdr:colOff>
                    <xdr:row>1</xdr:row>
                    <xdr:rowOff>152400</xdr:rowOff>
                  </from>
                  <to>
                    <xdr:col>3</xdr:col>
                    <xdr:colOff>1098550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t_Start_1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O56"/>
  <sheetViews>
    <sheetView workbookViewId="0"/>
  </sheetViews>
  <sheetFormatPr defaultColWidth="8.90625" defaultRowHeight="13" x14ac:dyDescent="0.2"/>
  <cols>
    <col min="1" max="1" width="14.6328125" customWidth="1"/>
    <col min="2" max="5" width="10.6328125" customWidth="1"/>
    <col min="6" max="6" width="4.6328125" customWidth="1"/>
    <col min="7" max="9" width="5.6328125" customWidth="1"/>
    <col min="10" max="14" width="11.6328125" customWidth="1"/>
  </cols>
  <sheetData>
    <row r="1" spans="1:15" x14ac:dyDescent="0.2">
      <c r="A1" s="14" t="s">
        <v>187</v>
      </c>
    </row>
    <row r="2" spans="1:15" x14ac:dyDescent="0.2">
      <c r="A2" s="14"/>
    </row>
    <row r="3" spans="1:15" x14ac:dyDescent="0.2">
      <c r="A3" s="16"/>
      <c r="I3" s="73"/>
      <c r="J3" s="73"/>
    </row>
    <row r="5" spans="1:15" x14ac:dyDescent="0.2">
      <c r="A5" t="s">
        <v>170</v>
      </c>
      <c r="G5" t="s">
        <v>190</v>
      </c>
    </row>
    <row r="6" spans="1:15" x14ac:dyDescent="0.2">
      <c r="A6" s="1" t="s">
        <v>188</v>
      </c>
      <c r="B6" s="96">
        <v>1.0000000000000001E-5</v>
      </c>
      <c r="G6" s="45" t="s">
        <v>38</v>
      </c>
      <c r="H6" s="45" t="s">
        <v>39</v>
      </c>
      <c r="I6" s="45" t="s">
        <v>40</v>
      </c>
      <c r="J6" s="45" t="s">
        <v>41</v>
      </c>
      <c r="K6" s="45" t="s">
        <v>42</v>
      </c>
      <c r="L6" s="45" t="s">
        <v>10</v>
      </c>
      <c r="M6" s="45" t="s">
        <v>43</v>
      </c>
      <c r="N6" s="45" t="s">
        <v>12</v>
      </c>
    </row>
    <row r="7" spans="1:15" x14ac:dyDescent="0.2">
      <c r="A7" s="1" t="s">
        <v>171</v>
      </c>
      <c r="B7" s="15">
        <v>2</v>
      </c>
      <c r="C7" s="61"/>
      <c r="F7" s="61" t="s">
        <v>177</v>
      </c>
      <c r="G7" s="38"/>
      <c r="H7" s="38"/>
      <c r="I7" s="38"/>
      <c r="J7" s="38"/>
      <c r="K7" s="17">
        <v>-1.2</v>
      </c>
      <c r="L7" s="17">
        <v>1</v>
      </c>
      <c r="M7" s="17"/>
      <c r="N7" s="17"/>
    </row>
    <row r="8" spans="1:15" x14ac:dyDescent="0.2">
      <c r="A8" s="1" t="s">
        <v>172</v>
      </c>
      <c r="B8" s="37">
        <v>0</v>
      </c>
      <c r="G8" s="39">
        <v>2</v>
      </c>
      <c r="H8" s="39">
        <v>0</v>
      </c>
      <c r="I8" s="39">
        <v>0</v>
      </c>
      <c r="J8" s="39">
        <v>24.199991818556175</v>
      </c>
      <c r="K8" s="39">
        <v>-1.199999962052668</v>
      </c>
      <c r="L8" s="39">
        <v>1</v>
      </c>
      <c r="M8" s="39"/>
      <c r="N8" s="39"/>
    </row>
    <row r="9" spans="1:15" x14ac:dyDescent="0.2">
      <c r="G9" s="39">
        <v>4</v>
      </c>
      <c r="H9" s="39">
        <v>0</v>
      </c>
      <c r="I9" s="39">
        <v>0</v>
      </c>
      <c r="J9" s="39">
        <v>210482339599.70886</v>
      </c>
      <c r="K9" s="39">
        <v>214.39997519454985</v>
      </c>
      <c r="L9" s="39">
        <v>88.999996847698426</v>
      </c>
      <c r="M9" s="39"/>
      <c r="N9" s="39"/>
    </row>
    <row r="10" spans="1:15" x14ac:dyDescent="0.2">
      <c r="A10" t="s">
        <v>166</v>
      </c>
      <c r="G10" s="39">
        <v>6</v>
      </c>
      <c r="H10" s="39">
        <v>0</v>
      </c>
      <c r="I10" s="39">
        <v>0</v>
      </c>
      <c r="J10" s="39">
        <v>746161.5083136285</v>
      </c>
      <c r="K10" s="39">
        <v>9.5799989203619926</v>
      </c>
      <c r="L10" s="39">
        <v>5.3999999079500283</v>
      </c>
      <c r="M10" s="39"/>
      <c r="N10" s="39"/>
    </row>
    <row r="11" spans="1:15" x14ac:dyDescent="0.2">
      <c r="A11" s="65" t="s">
        <v>13</v>
      </c>
      <c r="B11" s="66">
        <v>2</v>
      </c>
      <c r="G11" s="39">
        <v>8</v>
      </c>
      <c r="H11" s="39">
        <v>0</v>
      </c>
      <c r="I11" s="39">
        <v>0</v>
      </c>
      <c r="J11" s="39">
        <v>2.0681786229762213</v>
      </c>
      <c r="K11" s="39">
        <v>1.494999730090498</v>
      </c>
      <c r="L11" s="39">
        <v>2.0999999769875073</v>
      </c>
      <c r="M11" s="39"/>
      <c r="N11" s="39"/>
    </row>
    <row r="12" spans="1:15" x14ac:dyDescent="0.2">
      <c r="A12" s="1" t="s">
        <v>174</v>
      </c>
      <c r="B12" s="67">
        <v>1</v>
      </c>
      <c r="C12" s="68">
        <v>2</v>
      </c>
      <c r="D12" s="68">
        <v>3</v>
      </c>
      <c r="E12" s="69">
        <v>4</v>
      </c>
      <c r="G12" s="39">
        <v>10</v>
      </c>
      <c r="H12" s="39">
        <v>0</v>
      </c>
      <c r="I12" s="39">
        <v>0</v>
      </c>
      <c r="J12" s="39">
        <v>2.0681768296436167</v>
      </c>
      <c r="K12" s="39">
        <v>1.494999730090498</v>
      </c>
      <c r="L12" s="39">
        <v>2.1000000433953376</v>
      </c>
      <c r="M12" s="39"/>
      <c r="N12" s="39"/>
    </row>
    <row r="13" spans="1:15" x14ac:dyDescent="0.2">
      <c r="A13" s="1" t="s">
        <v>14</v>
      </c>
      <c r="B13" s="67">
        <v>0.99999055647523361</v>
      </c>
      <c r="C13" s="68">
        <v>0.99998114626704637</v>
      </c>
      <c r="D13" s="68"/>
      <c r="E13" s="69"/>
      <c r="G13" s="39">
        <v>12</v>
      </c>
      <c r="H13" s="39">
        <v>0</v>
      </c>
      <c r="I13" s="39">
        <v>0</v>
      </c>
      <c r="J13" s="39">
        <v>0.84678712875558326</v>
      </c>
      <c r="K13" s="39">
        <v>1.4271567436694419</v>
      </c>
      <c r="L13" s="39">
        <v>2.1182824594297789</v>
      </c>
      <c r="M13" s="39"/>
      <c r="N13" s="39"/>
      <c r="O13" s="77"/>
    </row>
    <row r="14" spans="1:15" x14ac:dyDescent="0.2">
      <c r="A14" s="1" t="s">
        <v>6</v>
      </c>
      <c r="B14" s="15">
        <f>100*(C13-B13^2)^2+(1-B13)^2</f>
        <v>8.9290566018305533E-11</v>
      </c>
      <c r="G14" s="39">
        <v>14</v>
      </c>
      <c r="H14" s="39">
        <v>0</v>
      </c>
      <c r="I14" s="39">
        <v>0</v>
      </c>
      <c r="J14" s="39">
        <v>0.84678822070896309</v>
      </c>
      <c r="K14" s="39">
        <v>1.4271567436694419</v>
      </c>
      <c r="L14" s="39">
        <v>2.1182825264157521</v>
      </c>
      <c r="M14" s="39"/>
      <c r="N14" s="39"/>
    </row>
    <row r="15" spans="1:15" x14ac:dyDescent="0.2">
      <c r="G15" s="39">
        <v>16</v>
      </c>
      <c r="H15" s="39">
        <v>0</v>
      </c>
      <c r="I15" s="39">
        <v>0</v>
      </c>
      <c r="J15" s="39">
        <v>0.20345986771412827</v>
      </c>
      <c r="K15" s="39">
        <v>1.4488129188314991</v>
      </c>
      <c r="L15" s="39">
        <v>2.1035609084287104</v>
      </c>
      <c r="M15" s="39"/>
      <c r="N15" s="39"/>
    </row>
    <row r="16" spans="1:15" x14ac:dyDescent="0.2">
      <c r="B16" t="s">
        <v>176</v>
      </c>
      <c r="G16" s="40">
        <v>18</v>
      </c>
      <c r="H16" s="40">
        <v>0</v>
      </c>
      <c r="I16" s="40">
        <v>0</v>
      </c>
      <c r="J16" s="40">
        <v>0.20143162067592812</v>
      </c>
      <c r="K16" s="40">
        <v>1.4486393821362662</v>
      </c>
      <c r="L16" s="40">
        <v>2.0997983375139326</v>
      </c>
      <c r="M16" s="40"/>
      <c r="N16" s="40"/>
    </row>
    <row r="17" spans="1:14" x14ac:dyDescent="0.2">
      <c r="B17" s="73" t="s">
        <v>44</v>
      </c>
      <c r="G17" s="64">
        <v>20</v>
      </c>
      <c r="H17" s="64">
        <v>0</v>
      </c>
      <c r="I17" s="64">
        <v>0</v>
      </c>
      <c r="J17" s="64">
        <v>0.20143163717418255</v>
      </c>
      <c r="K17" s="64">
        <v>1.4486393821362662</v>
      </c>
      <c r="L17" s="64">
        <v>2.0997984039153863</v>
      </c>
      <c r="M17" s="64"/>
      <c r="N17" s="64"/>
    </row>
    <row r="18" spans="1:14" x14ac:dyDescent="0.2">
      <c r="B18" t="s">
        <v>45</v>
      </c>
      <c r="G18" s="39">
        <v>22</v>
      </c>
      <c r="H18" s="39">
        <v>0</v>
      </c>
      <c r="I18" s="39">
        <v>0</v>
      </c>
      <c r="J18" s="39">
        <v>0.19972772091021343</v>
      </c>
      <c r="K18" s="39">
        <v>1.4469025287456374</v>
      </c>
      <c r="L18" s="39">
        <v>2.0932850452610596</v>
      </c>
      <c r="M18" s="39"/>
      <c r="N18" s="39"/>
    </row>
    <row r="19" spans="1:14" x14ac:dyDescent="0.2">
      <c r="G19" s="39">
        <v>24</v>
      </c>
      <c r="H19" s="39">
        <v>0</v>
      </c>
      <c r="I19" s="39">
        <v>0</v>
      </c>
      <c r="J19" s="39">
        <v>0.19121718363801035</v>
      </c>
      <c r="K19" s="39">
        <v>1.4340820693877923</v>
      </c>
      <c r="L19" s="39">
        <v>2.0513093928395252</v>
      </c>
      <c r="M19" s="39"/>
      <c r="N19" s="39"/>
    </row>
    <row r="20" spans="1:14" x14ac:dyDescent="0.2">
      <c r="A20" s="73" t="s">
        <v>189</v>
      </c>
      <c r="G20" s="39">
        <v>26</v>
      </c>
      <c r="H20" s="39">
        <v>0</v>
      </c>
      <c r="I20" s="39">
        <v>0</v>
      </c>
      <c r="J20" s="39">
        <v>0.19121711511191547</v>
      </c>
      <c r="K20" s="39">
        <v>1.4340820693877923</v>
      </c>
      <c r="L20" s="39">
        <v>2.0513094577076241</v>
      </c>
      <c r="M20" s="39"/>
      <c r="N20" s="39"/>
    </row>
    <row r="21" spans="1:14" x14ac:dyDescent="0.2">
      <c r="A21" s="1" t="s">
        <v>18</v>
      </c>
      <c r="B21" s="37">
        <v>1</v>
      </c>
      <c r="G21" s="39">
        <v>28</v>
      </c>
      <c r="H21" s="39">
        <v>0</v>
      </c>
      <c r="I21" s="39">
        <v>0</v>
      </c>
      <c r="J21" s="39">
        <v>0.1783308167280567</v>
      </c>
      <c r="K21" s="39">
        <v>1.4081107870187237</v>
      </c>
      <c r="L21" s="39">
        <v>1.9719240752093008</v>
      </c>
      <c r="M21" s="39"/>
      <c r="N21" s="39"/>
    </row>
    <row r="22" spans="1:14" x14ac:dyDescent="0.2">
      <c r="A22" s="1" t="s">
        <v>219</v>
      </c>
      <c r="B22" s="15">
        <v>0</v>
      </c>
      <c r="G22" s="39">
        <v>30</v>
      </c>
      <c r="H22" s="39">
        <v>0</v>
      </c>
      <c r="I22" s="39">
        <v>0</v>
      </c>
      <c r="J22" s="39">
        <v>0.16017501737689124</v>
      </c>
      <c r="K22" s="39">
        <v>1.3690011459488403</v>
      </c>
      <c r="L22" s="39">
        <v>1.8586679536708179</v>
      </c>
      <c r="M22" s="39"/>
      <c r="N22" s="39"/>
    </row>
    <row r="23" spans="1:14" x14ac:dyDescent="0.2">
      <c r="G23" s="39">
        <v>32</v>
      </c>
      <c r="H23" s="39">
        <v>0</v>
      </c>
      <c r="I23" s="39">
        <v>0</v>
      </c>
      <c r="J23" s="39">
        <v>0.16017483521574702</v>
      </c>
      <c r="K23" s="39">
        <v>1.3690011459488403</v>
      </c>
      <c r="L23" s="39">
        <v>1.8586680124470594</v>
      </c>
      <c r="M23" s="39"/>
      <c r="N23" s="39"/>
    </row>
    <row r="24" spans="1:14" x14ac:dyDescent="0.2">
      <c r="G24" s="39">
        <v>34</v>
      </c>
      <c r="H24" s="39">
        <v>0</v>
      </c>
      <c r="I24" s="39">
        <v>0</v>
      </c>
      <c r="J24" s="39">
        <v>0.13042524344976603</v>
      </c>
      <c r="K24" s="39">
        <v>1.323921515627339</v>
      </c>
      <c r="L24" s="39">
        <v>1.7367994303215137</v>
      </c>
      <c r="M24" s="39"/>
      <c r="N24" s="39"/>
    </row>
    <row r="25" spans="1:14" x14ac:dyDescent="0.2">
      <c r="G25" s="39">
        <v>36</v>
      </c>
      <c r="H25" s="39">
        <v>0</v>
      </c>
      <c r="I25" s="39">
        <v>0</v>
      </c>
      <c r="J25" s="39">
        <v>7.6672612248195784E-2</v>
      </c>
      <c r="K25" s="39">
        <v>1.263690465231575</v>
      </c>
      <c r="L25" s="39">
        <v>1.5884637689639303</v>
      </c>
      <c r="M25" s="39"/>
      <c r="N25" s="39"/>
    </row>
    <row r="26" spans="1:14" x14ac:dyDescent="0.2">
      <c r="G26" s="40">
        <v>38</v>
      </c>
      <c r="H26" s="40">
        <v>0</v>
      </c>
      <c r="I26" s="40">
        <v>0</v>
      </c>
      <c r="J26" s="40">
        <v>7.6672527358763884E-2</v>
      </c>
      <c r="K26" s="40">
        <v>1.263690465231575</v>
      </c>
      <c r="L26" s="40">
        <v>1.5884638191955651</v>
      </c>
      <c r="M26" s="40"/>
      <c r="N26" s="40"/>
    </row>
    <row r="27" spans="1:14" x14ac:dyDescent="0.2">
      <c r="G27" s="64">
        <v>40</v>
      </c>
      <c r="H27" s="64">
        <v>0</v>
      </c>
      <c r="I27" s="64">
        <v>0</v>
      </c>
      <c r="J27" s="64">
        <v>4.6202786795986779E-2</v>
      </c>
      <c r="K27" s="64">
        <v>1.202754243516625</v>
      </c>
      <c r="L27" s="64">
        <v>1.4394808917554855</v>
      </c>
      <c r="M27" s="64"/>
      <c r="N27" s="64"/>
    </row>
    <row r="28" spans="1:14" x14ac:dyDescent="0.2">
      <c r="G28" s="39">
        <v>42</v>
      </c>
      <c r="H28" s="39">
        <v>0</v>
      </c>
      <c r="I28" s="39">
        <v>0</v>
      </c>
      <c r="J28" s="39">
        <v>2.1672788440452961E-2</v>
      </c>
      <c r="K28" s="39">
        <v>1.1468621066923628</v>
      </c>
      <c r="L28" s="39">
        <v>1.316314014724258</v>
      </c>
      <c r="M28" s="39"/>
      <c r="N28" s="39"/>
    </row>
    <row r="29" spans="1:14" x14ac:dyDescent="0.2">
      <c r="G29" s="39">
        <v>44</v>
      </c>
      <c r="H29" s="39">
        <v>0</v>
      </c>
      <c r="I29" s="39">
        <v>0</v>
      </c>
      <c r="J29" s="39">
        <v>2.1672796943242784E-2</v>
      </c>
      <c r="K29" s="39">
        <v>1.1468621066923628</v>
      </c>
      <c r="L29" s="39">
        <v>1.316314056349762</v>
      </c>
      <c r="M29" s="39"/>
      <c r="N29" s="39"/>
    </row>
    <row r="30" spans="1:14" x14ac:dyDescent="0.2">
      <c r="G30" s="39">
        <v>46</v>
      </c>
      <c r="H30" s="39">
        <v>0</v>
      </c>
      <c r="I30" s="39">
        <v>0</v>
      </c>
      <c r="J30" s="39">
        <v>1.684035446246088E-2</v>
      </c>
      <c r="K30" s="39">
        <v>1.1291159892432068</v>
      </c>
      <c r="L30" s="39">
        <v>1.273601318977017</v>
      </c>
      <c r="M30" s="39"/>
      <c r="N30" s="39"/>
    </row>
    <row r="31" spans="1:14" x14ac:dyDescent="0.2">
      <c r="G31" s="39">
        <v>48</v>
      </c>
      <c r="H31" s="39">
        <v>0</v>
      </c>
      <c r="I31" s="39">
        <v>0</v>
      </c>
      <c r="J31" s="39">
        <v>1.6840343978299165E-2</v>
      </c>
      <c r="K31" s="39">
        <v>1.1291159892432068</v>
      </c>
      <c r="L31" s="39">
        <v>1.2736013592518269</v>
      </c>
      <c r="M31" s="39"/>
      <c r="N31" s="39"/>
    </row>
    <row r="32" spans="1:14" x14ac:dyDescent="0.2">
      <c r="G32" s="39">
        <v>50</v>
      </c>
      <c r="H32" s="39">
        <v>0</v>
      </c>
      <c r="I32" s="39">
        <v>0</v>
      </c>
      <c r="J32" s="39">
        <v>1.5293394283886392E-2</v>
      </c>
      <c r="K32" s="39">
        <v>1.0470131201479265</v>
      </c>
      <c r="L32" s="39">
        <v>1.0847983092160249</v>
      </c>
      <c r="M32" s="39"/>
      <c r="N32" s="39"/>
    </row>
    <row r="33" spans="7:14" x14ac:dyDescent="0.2">
      <c r="G33" s="39">
        <v>52</v>
      </c>
      <c r="H33" s="39">
        <v>0</v>
      </c>
      <c r="I33" s="39">
        <v>0</v>
      </c>
      <c r="J33" s="39">
        <v>7.1791062154660332E-3</v>
      </c>
      <c r="K33" s="39">
        <v>1.0837286653959608</v>
      </c>
      <c r="L33" s="39">
        <v>1.1731692948585422</v>
      </c>
      <c r="M33" s="39"/>
      <c r="N33" s="39"/>
    </row>
    <row r="34" spans="7:14" x14ac:dyDescent="0.2">
      <c r="G34" s="39">
        <v>54</v>
      </c>
      <c r="H34" s="39">
        <v>0</v>
      </c>
      <c r="I34" s="39">
        <v>0</v>
      </c>
      <c r="J34" s="39">
        <v>7.1790965808389839E-3</v>
      </c>
      <c r="K34" s="39">
        <v>1.0837286653959608</v>
      </c>
      <c r="L34" s="39">
        <v>1.1731693319574126</v>
      </c>
      <c r="M34" s="39"/>
      <c r="N34" s="39"/>
    </row>
    <row r="35" spans="7:14" x14ac:dyDescent="0.2">
      <c r="G35" s="39">
        <v>56</v>
      </c>
      <c r="H35" s="39">
        <v>0</v>
      </c>
      <c r="I35" s="39">
        <v>0</v>
      </c>
      <c r="J35" s="39">
        <v>4.5045042898438793E-3</v>
      </c>
      <c r="K35" s="39">
        <v>1.0656775190324064</v>
      </c>
      <c r="L35" s="39">
        <v>1.134286663634746</v>
      </c>
      <c r="M35" s="39"/>
      <c r="N35" s="39"/>
    </row>
    <row r="36" spans="7:14" x14ac:dyDescent="0.2">
      <c r="G36" s="40">
        <v>58</v>
      </c>
      <c r="H36" s="40">
        <v>0</v>
      </c>
      <c r="I36" s="40">
        <v>0</v>
      </c>
      <c r="J36" s="40">
        <v>1.6313598750092488E-3</v>
      </c>
      <c r="K36" s="40">
        <v>1.0159663146126994</v>
      </c>
      <c r="L36" s="40">
        <v>1.0284775164808528</v>
      </c>
      <c r="M36" s="40"/>
      <c r="N36" s="40"/>
    </row>
    <row r="37" spans="7:14" x14ac:dyDescent="0.2">
      <c r="G37" s="64">
        <v>60</v>
      </c>
      <c r="H37" s="64">
        <v>0</v>
      </c>
      <c r="I37" s="64">
        <v>0</v>
      </c>
      <c r="J37" s="64">
        <v>1.63133574258169E-3</v>
      </c>
      <c r="K37" s="64">
        <v>1.0159663146126994</v>
      </c>
      <c r="L37" s="64">
        <v>1.0284775490041675</v>
      </c>
      <c r="M37" s="64"/>
      <c r="N37" s="64"/>
    </row>
    <row r="38" spans="7:14" x14ac:dyDescent="0.2">
      <c r="G38" s="39">
        <v>62</v>
      </c>
      <c r="H38" s="39">
        <v>0</v>
      </c>
      <c r="I38" s="39">
        <v>0</v>
      </c>
      <c r="J38" s="39">
        <v>4.610821520774037E-4</v>
      </c>
      <c r="K38" s="39">
        <v>1.0203464630208645</v>
      </c>
      <c r="L38" s="39">
        <v>1.0404205840136165</v>
      </c>
      <c r="M38" s="39"/>
      <c r="N38" s="39"/>
    </row>
    <row r="39" spans="7:14" x14ac:dyDescent="0.2">
      <c r="G39" s="39">
        <v>64</v>
      </c>
      <c r="H39" s="39">
        <v>0</v>
      </c>
      <c r="I39" s="39">
        <v>0</v>
      </c>
      <c r="J39" s="39">
        <v>8.9904513747868952E-5</v>
      </c>
      <c r="K39" s="39">
        <v>1.0093737152998916</v>
      </c>
      <c r="L39" s="39">
        <v>1.0186925394686546</v>
      </c>
      <c r="M39" s="39"/>
      <c r="N39" s="39"/>
    </row>
    <row r="40" spans="7:14" x14ac:dyDescent="0.2">
      <c r="G40" s="39">
        <v>66</v>
      </c>
      <c r="H40" s="39">
        <v>0</v>
      </c>
      <c r="I40" s="39">
        <v>0</v>
      </c>
      <c r="J40" s="39">
        <v>8.990359409576413E-5</v>
      </c>
      <c r="K40" s="39">
        <v>1.0093737152998916</v>
      </c>
      <c r="L40" s="39">
        <v>1.0186925716825412</v>
      </c>
      <c r="M40" s="39"/>
      <c r="N40" s="39"/>
    </row>
    <row r="41" spans="7:14" x14ac:dyDescent="0.2">
      <c r="G41" s="39">
        <v>68</v>
      </c>
      <c r="H41" s="39">
        <v>0</v>
      </c>
      <c r="I41" s="39">
        <v>0</v>
      </c>
      <c r="J41" s="39">
        <v>3.3456534469906113E-6</v>
      </c>
      <c r="K41" s="39">
        <v>1.0008761791353757</v>
      </c>
      <c r="L41" s="39">
        <v>1.0015925655804061</v>
      </c>
      <c r="M41" s="39"/>
      <c r="N41" s="39"/>
    </row>
    <row r="42" spans="7:14" x14ac:dyDescent="0.2">
      <c r="G42" s="39">
        <v>70</v>
      </c>
      <c r="H42" s="39">
        <v>0</v>
      </c>
      <c r="I42" s="39">
        <v>0</v>
      </c>
      <c r="J42" s="39">
        <v>2.5284538279111983E-8</v>
      </c>
      <c r="K42" s="39">
        <v>1.0001486928161569</v>
      </c>
      <c r="L42" s="39">
        <v>1.000291773041607</v>
      </c>
      <c r="M42" s="39"/>
      <c r="N42" s="39"/>
    </row>
    <row r="43" spans="7:14" x14ac:dyDescent="0.2">
      <c r="G43" s="39">
        <v>72</v>
      </c>
      <c r="H43" s="39">
        <v>0</v>
      </c>
      <c r="I43" s="39">
        <v>0</v>
      </c>
      <c r="J43" s="39">
        <v>2.524899096609747E-8</v>
      </c>
      <c r="K43" s="39">
        <v>1.0001486928161569</v>
      </c>
      <c r="L43" s="39">
        <v>1.0002918046736102</v>
      </c>
      <c r="M43" s="39"/>
      <c r="N43" s="39"/>
    </row>
    <row r="44" spans="7:14" x14ac:dyDescent="0.2">
      <c r="G44" s="39">
        <v>74</v>
      </c>
      <c r="H44" s="39">
        <v>0</v>
      </c>
      <c r="I44" s="39">
        <v>0</v>
      </c>
      <c r="J44" s="39">
        <v>1.9648200600534006E-10</v>
      </c>
      <c r="K44" s="39">
        <v>0.99998703328364513</v>
      </c>
      <c r="L44" s="39">
        <v>0.99997353432324565</v>
      </c>
      <c r="M44" s="39"/>
      <c r="N44" s="39"/>
    </row>
    <row r="45" spans="7:14" x14ac:dyDescent="0.2">
      <c r="G45" s="39">
        <v>76</v>
      </c>
      <c r="H45" s="39">
        <v>0</v>
      </c>
      <c r="I45" s="39">
        <v>0</v>
      </c>
      <c r="J45" s="39">
        <v>8.9180417494829198E-11</v>
      </c>
      <c r="K45" s="39">
        <v>0.99999055647523361</v>
      </c>
      <c r="L45" s="39">
        <v>0.99998111464426975</v>
      </c>
      <c r="M45" s="39"/>
      <c r="N45" s="39"/>
    </row>
    <row r="46" spans="7:14" x14ac:dyDescent="0.2">
      <c r="G46" s="40">
        <v>78</v>
      </c>
      <c r="H46" s="40">
        <v>0</v>
      </c>
      <c r="I46" s="40">
        <v>0</v>
      </c>
      <c r="J46" s="40">
        <v>8.9290566018305533E-11</v>
      </c>
      <c r="K46" s="40">
        <v>0.99999055647523361</v>
      </c>
      <c r="L46" s="40">
        <v>0.99998114626704637</v>
      </c>
      <c r="M46" s="40"/>
      <c r="N46" s="40"/>
    </row>
    <row r="47" spans="7:14" x14ac:dyDescent="0.2">
      <c r="G47" s="64"/>
      <c r="H47" s="64"/>
      <c r="I47" s="64"/>
      <c r="J47" s="64"/>
      <c r="K47" s="64"/>
      <c r="L47" s="64"/>
      <c r="M47" s="64"/>
      <c r="N47" s="64"/>
    </row>
    <row r="48" spans="7:14" x14ac:dyDescent="0.2">
      <c r="G48" s="39"/>
      <c r="H48" s="39"/>
      <c r="I48" s="39"/>
      <c r="J48" s="39"/>
      <c r="K48" s="39"/>
      <c r="L48" s="39"/>
      <c r="M48" s="39"/>
      <c r="N48" s="39"/>
    </row>
    <row r="49" spans="7:14" x14ac:dyDescent="0.2">
      <c r="G49" s="39"/>
      <c r="H49" s="39"/>
      <c r="I49" s="39"/>
      <c r="J49" s="39"/>
      <c r="K49" s="39"/>
      <c r="L49" s="39"/>
      <c r="M49" s="39"/>
      <c r="N49" s="39"/>
    </row>
    <row r="50" spans="7:14" x14ac:dyDescent="0.2">
      <c r="G50" s="39"/>
      <c r="H50" s="39"/>
      <c r="I50" s="39"/>
      <c r="J50" s="39"/>
      <c r="K50" s="39"/>
      <c r="L50" s="39"/>
      <c r="M50" s="39"/>
      <c r="N50" s="39"/>
    </row>
    <row r="51" spans="7:14" x14ac:dyDescent="0.2">
      <c r="G51" s="39"/>
      <c r="H51" s="39"/>
      <c r="I51" s="39"/>
      <c r="J51" s="39"/>
      <c r="K51" s="39"/>
      <c r="L51" s="39"/>
      <c r="M51" s="39"/>
      <c r="N51" s="39"/>
    </row>
    <row r="52" spans="7:14" x14ac:dyDescent="0.2">
      <c r="G52" s="39"/>
      <c r="H52" s="39"/>
      <c r="I52" s="39"/>
      <c r="J52" s="39"/>
      <c r="K52" s="39"/>
      <c r="L52" s="39"/>
      <c r="M52" s="39"/>
      <c r="N52" s="39"/>
    </row>
    <row r="53" spans="7:14" x14ac:dyDescent="0.2">
      <c r="G53" s="39"/>
      <c r="H53" s="39"/>
      <c r="I53" s="39"/>
      <c r="J53" s="39"/>
      <c r="K53" s="39"/>
      <c r="L53" s="39"/>
      <c r="M53" s="39"/>
      <c r="N53" s="39"/>
    </row>
    <row r="54" spans="7:14" x14ac:dyDescent="0.2">
      <c r="G54" s="39"/>
      <c r="H54" s="39"/>
      <c r="I54" s="39"/>
      <c r="J54" s="39"/>
      <c r="K54" s="39"/>
      <c r="L54" s="39"/>
      <c r="M54" s="39"/>
      <c r="N54" s="39"/>
    </row>
    <row r="55" spans="7:14" x14ac:dyDescent="0.2">
      <c r="G55" s="39"/>
      <c r="H55" s="39"/>
      <c r="I55" s="39"/>
      <c r="J55" s="39"/>
      <c r="K55" s="39"/>
      <c r="L55" s="39"/>
      <c r="M55" s="39"/>
      <c r="N55" s="39"/>
    </row>
    <row r="56" spans="7:14" x14ac:dyDescent="0.2">
      <c r="G56" s="40"/>
      <c r="H56" s="40"/>
      <c r="I56" s="40"/>
      <c r="J56" s="40"/>
      <c r="K56" s="40"/>
      <c r="L56" s="40"/>
      <c r="M56" s="40"/>
      <c r="N56" s="40"/>
    </row>
  </sheetData>
  <phoneticPr fontId="1"/>
  <dataValidations count="4">
    <dataValidation type="whole" allowBlank="1" showInputMessage="1" showErrorMessage="1" prompt="1: Optif0_x000a_" sqref="B21" xr:uid="{00000000-0002-0000-0B00-000000000000}">
      <formula1>1</formula1>
      <formula2>1</formula2>
    </dataValidation>
    <dataValidation type="whole" operator="greaterThanOrEqual" allowBlank="1" showInputMessage="1" showErrorMessage="1" promptTitle="途中経過" prompt="= 0: 出力しない_x000a_&gt;= 1: 出力する" sqref="B7" xr:uid="{00000000-0002-0000-0B00-000001000000}">
      <formula1>0</formula1>
    </dataValidation>
    <dataValidation type="whole" allowBlank="1" showInputMessage="1" showErrorMessage="1" sqref="B11" xr:uid="{00000000-0002-0000-0B00-000002000000}">
      <formula1>1</formula1>
      <formula2>4</formula2>
    </dataValidation>
    <dataValidation type="whole" allowBlank="1" showInputMessage="1" showErrorMessage="1" prompt="0: Callback version_x000a_1: Reverse communication version" sqref="B22" xr:uid="{43B8D67A-C543-46B2-9BEF-AD68CA67A9B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pt_Clear_2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Opt_Start_2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1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8" width="14.36328125" customWidth="1"/>
  </cols>
  <sheetData>
    <row r="1" spans="1:8" x14ac:dyDescent="0.2">
      <c r="A1" s="14" t="s">
        <v>195</v>
      </c>
    </row>
    <row r="2" spans="1:8" x14ac:dyDescent="0.2">
      <c r="A2" s="14"/>
    </row>
    <row r="3" spans="1:8" x14ac:dyDescent="0.2">
      <c r="A3" s="16"/>
      <c r="F3" t="s">
        <v>196</v>
      </c>
    </row>
    <row r="5" spans="1:8" x14ac:dyDescent="0.2">
      <c r="A5" t="s">
        <v>197</v>
      </c>
      <c r="D5" t="s">
        <v>228</v>
      </c>
    </row>
    <row r="6" spans="1:8" x14ac:dyDescent="0.2">
      <c r="A6" s="1" t="s">
        <v>5</v>
      </c>
      <c r="B6" s="37">
        <v>1.4034059178159555</v>
      </c>
      <c r="D6" s="59" t="s">
        <v>54</v>
      </c>
      <c r="E6" s="60" t="s">
        <v>55</v>
      </c>
      <c r="F6" s="45" t="s">
        <v>167</v>
      </c>
      <c r="G6" s="45" t="s">
        <v>198</v>
      </c>
      <c r="H6" s="45" t="s">
        <v>199</v>
      </c>
    </row>
    <row r="7" spans="1:8" x14ac:dyDescent="0.2">
      <c r="A7" s="1" t="s">
        <v>6</v>
      </c>
      <c r="B7" s="15">
        <f>1/(1+B6^2)</f>
        <v>0.33675156714020754</v>
      </c>
      <c r="C7" s="61"/>
      <c r="D7" s="13">
        <v>0</v>
      </c>
      <c r="E7" s="21">
        <v>1</v>
      </c>
      <c r="F7" s="38">
        <v>45</v>
      </c>
      <c r="G7" s="38">
        <v>0.78539816339744839</v>
      </c>
      <c r="H7" s="38">
        <v>8.719671245020275E-15</v>
      </c>
    </row>
    <row r="8" spans="1:8" x14ac:dyDescent="0.2">
      <c r="A8" s="1" t="s">
        <v>2</v>
      </c>
      <c r="B8" s="58">
        <v>1E-10</v>
      </c>
      <c r="D8" s="22">
        <v>0</v>
      </c>
      <c r="E8" s="24">
        <v>2</v>
      </c>
      <c r="F8" s="39">
        <v>75</v>
      </c>
      <c r="G8" s="39">
        <v>1.1071487177940906</v>
      </c>
      <c r="H8" s="39">
        <v>1.2291820077786625E-14</v>
      </c>
    </row>
    <row r="9" spans="1:8" x14ac:dyDescent="0.2">
      <c r="D9" s="22">
        <v>0</v>
      </c>
      <c r="E9" s="24">
        <v>3</v>
      </c>
      <c r="F9" s="39">
        <v>75</v>
      </c>
      <c r="G9" s="39">
        <v>1.2490457723982544</v>
      </c>
      <c r="H9" s="39">
        <v>2.2924619172774786E-13</v>
      </c>
    </row>
    <row r="10" spans="1:8" x14ac:dyDescent="0.2">
      <c r="A10" s="73" t="s">
        <v>142</v>
      </c>
      <c r="D10" s="22">
        <v>0</v>
      </c>
      <c r="E10" s="24">
        <v>4</v>
      </c>
      <c r="F10" s="39">
        <v>75</v>
      </c>
      <c r="G10" s="39">
        <v>1.3258176636680326</v>
      </c>
      <c r="H10" s="39">
        <v>1.2911582553319398E-10</v>
      </c>
    </row>
    <row r="11" spans="1:8" x14ac:dyDescent="0.2">
      <c r="A11" s="1" t="s">
        <v>18</v>
      </c>
      <c r="B11" s="15">
        <v>7</v>
      </c>
      <c r="D11" s="25">
        <v>0</v>
      </c>
      <c r="E11" s="27">
        <v>5</v>
      </c>
      <c r="F11" s="40">
        <v>105</v>
      </c>
      <c r="G11" s="40">
        <v>1.3734007669450159</v>
      </c>
      <c r="H11" s="40">
        <v>3.6284495375547927E-13</v>
      </c>
    </row>
    <row r="12" spans="1:8" x14ac:dyDescent="0.2">
      <c r="A12" s="1" t="s">
        <v>219</v>
      </c>
      <c r="B12" s="15">
        <v>0</v>
      </c>
      <c r="D12" s="13">
        <v>0</v>
      </c>
      <c r="E12" s="21">
        <v>6</v>
      </c>
      <c r="F12" s="38">
        <v>105</v>
      </c>
      <c r="G12" s="38">
        <v>1.4056476493802699</v>
      </c>
      <c r="H12" s="38">
        <v>3.3255800070525266E-13</v>
      </c>
    </row>
    <row r="13" spans="1:8" x14ac:dyDescent="0.2">
      <c r="D13" s="22">
        <v>0</v>
      </c>
      <c r="E13" s="24">
        <v>7</v>
      </c>
      <c r="F13" s="39">
        <v>105</v>
      </c>
      <c r="G13" s="39">
        <v>1.4288992721907328</v>
      </c>
      <c r="H13" s="39">
        <v>1.1441705666110514E-11</v>
      </c>
    </row>
    <row r="14" spans="1:8" x14ac:dyDescent="0.2">
      <c r="D14" s="22"/>
      <c r="E14" s="24"/>
      <c r="F14" s="39"/>
      <c r="G14" s="39"/>
      <c r="H14" s="39"/>
    </row>
    <row r="15" spans="1:8" x14ac:dyDescent="0.2">
      <c r="D15" s="22"/>
      <c r="E15" s="24"/>
      <c r="F15" s="39"/>
      <c r="G15" s="39"/>
      <c r="H15" s="39"/>
    </row>
    <row r="16" spans="1:8" x14ac:dyDescent="0.2">
      <c r="D16" s="25"/>
      <c r="E16" s="27"/>
      <c r="F16" s="40"/>
      <c r="G16" s="40"/>
      <c r="H16" s="40"/>
    </row>
  </sheetData>
  <phoneticPr fontId="1"/>
  <dataValidations count="2">
    <dataValidation type="list" allowBlank="1" showDropDown="1" showInputMessage="1" showErrorMessage="1" prompt="0: Qk15  7: Qag" sqref="B11" xr:uid="{00000000-0002-0000-0C00-000000000000}">
      <formula1>"0, 7"</formula1>
    </dataValidation>
    <dataValidation type="whole" allowBlank="1" showInputMessage="1" showErrorMessage="1" prompt="0: Callback version_x000a_1: Reverse communication version" sqref="B12" xr:uid="{5A62F32F-CC82-4FFB-9C86-15A495F692D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Qad_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3</xdr:col>
                    <xdr:colOff>1098550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Qad_Start_1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16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8" width="14.36328125" customWidth="1"/>
  </cols>
  <sheetData>
    <row r="1" spans="1:8" x14ac:dyDescent="0.2">
      <c r="A1" s="14" t="s">
        <v>200</v>
      </c>
    </row>
    <row r="3" spans="1:8" x14ac:dyDescent="0.2">
      <c r="A3" s="16"/>
      <c r="F3" t="s">
        <v>201</v>
      </c>
    </row>
    <row r="5" spans="1:8" x14ac:dyDescent="0.2">
      <c r="A5" t="s">
        <v>197</v>
      </c>
      <c r="D5" t="s">
        <v>218</v>
      </c>
    </row>
    <row r="6" spans="1:8" x14ac:dyDescent="0.2">
      <c r="A6" s="1" t="s">
        <v>203</v>
      </c>
      <c r="B6" s="37">
        <v>6.4939327642617179</v>
      </c>
      <c r="D6" s="45" t="s">
        <v>54</v>
      </c>
      <c r="E6" s="45" t="s">
        <v>56</v>
      </c>
      <c r="F6" s="45" t="s">
        <v>167</v>
      </c>
      <c r="G6" s="45" t="s">
        <v>202</v>
      </c>
      <c r="H6" s="45" t="s">
        <v>199</v>
      </c>
    </row>
    <row r="7" spans="1:8" x14ac:dyDescent="0.2">
      <c r="A7" s="1" t="s">
        <v>204</v>
      </c>
      <c r="B7" s="15">
        <f>1/(1+B6*B6)</f>
        <v>2.3163610530162037E-2</v>
      </c>
      <c r="C7" s="61"/>
      <c r="D7" s="17">
        <v>0</v>
      </c>
      <c r="E7" s="85" t="s">
        <v>57</v>
      </c>
      <c r="F7" s="38">
        <v>75</v>
      </c>
      <c r="G7" s="38">
        <v>1.5707963267948966</v>
      </c>
      <c r="H7" s="38">
        <v>1.2889829569499947E-10</v>
      </c>
    </row>
    <row r="8" spans="1:8" x14ac:dyDescent="0.2">
      <c r="A8" s="1" t="s">
        <v>205</v>
      </c>
      <c r="B8" s="58">
        <v>1E-10</v>
      </c>
      <c r="D8" s="18">
        <v>1</v>
      </c>
      <c r="E8" s="75" t="s">
        <v>57</v>
      </c>
      <c r="F8" s="39">
        <v>45</v>
      </c>
      <c r="G8" s="39">
        <v>0.78539816339744839</v>
      </c>
      <c r="H8" s="39">
        <v>8.719671245020275E-15</v>
      </c>
    </row>
    <row r="9" spans="1:8" x14ac:dyDescent="0.2">
      <c r="D9" s="18">
        <v>2</v>
      </c>
      <c r="E9" s="75" t="s">
        <v>57</v>
      </c>
      <c r="F9" s="39">
        <v>45</v>
      </c>
      <c r="G9" s="39">
        <v>0.46364760900080609</v>
      </c>
      <c r="H9" s="39">
        <v>5.147522508232726E-15</v>
      </c>
    </row>
    <row r="10" spans="1:8" x14ac:dyDescent="0.2">
      <c r="A10" s="73" t="s">
        <v>206</v>
      </c>
      <c r="D10" s="18">
        <v>3</v>
      </c>
      <c r="E10" s="75" t="s">
        <v>57</v>
      </c>
      <c r="F10" s="39">
        <v>45</v>
      </c>
      <c r="G10" s="39">
        <v>0.32175055439664213</v>
      </c>
      <c r="H10" s="39">
        <v>7.571310215012003E-12</v>
      </c>
    </row>
    <row r="11" spans="1:8" x14ac:dyDescent="0.2">
      <c r="A11" s="1" t="s">
        <v>58</v>
      </c>
      <c r="B11" s="37">
        <v>1</v>
      </c>
      <c r="D11" s="19">
        <v>4</v>
      </c>
      <c r="E11" s="76" t="s">
        <v>57</v>
      </c>
      <c r="F11" s="40">
        <v>75</v>
      </c>
      <c r="G11" s="40">
        <v>0.24497866312686414</v>
      </c>
      <c r="H11" s="40">
        <v>1.1276552063185909E-14</v>
      </c>
    </row>
    <row r="12" spans="1:8" x14ac:dyDescent="0.2">
      <c r="A12" s="1" t="s">
        <v>219</v>
      </c>
      <c r="B12" s="15">
        <v>0</v>
      </c>
      <c r="D12" s="17">
        <v>5</v>
      </c>
      <c r="E12" s="74" t="s">
        <v>57</v>
      </c>
      <c r="F12" s="38">
        <v>75</v>
      </c>
      <c r="G12" s="38">
        <v>0.19739555984988078</v>
      </c>
      <c r="H12" s="38">
        <v>8.6370927804060662E-13</v>
      </c>
    </row>
    <row r="13" spans="1:8" x14ac:dyDescent="0.2">
      <c r="D13" s="18"/>
      <c r="E13" s="75" t="s">
        <v>57</v>
      </c>
      <c r="F13" s="39"/>
      <c r="G13" s="39"/>
      <c r="H13" s="39"/>
    </row>
    <row r="14" spans="1:8" x14ac:dyDescent="0.2">
      <c r="D14" s="18"/>
      <c r="E14" s="75" t="s">
        <v>57</v>
      </c>
      <c r="F14" s="39"/>
      <c r="G14" s="39"/>
      <c r="H14" s="39"/>
    </row>
    <row r="15" spans="1:8" x14ac:dyDescent="0.2">
      <c r="D15" s="18"/>
      <c r="E15" s="75" t="s">
        <v>57</v>
      </c>
      <c r="F15" s="39"/>
      <c r="G15" s="39"/>
      <c r="H15" s="39"/>
    </row>
    <row r="16" spans="1:8" x14ac:dyDescent="0.2">
      <c r="D16" s="19"/>
      <c r="E16" s="76" t="s">
        <v>57</v>
      </c>
      <c r="F16" s="40"/>
      <c r="G16" s="40"/>
      <c r="H16" s="40"/>
    </row>
  </sheetData>
  <phoneticPr fontId="1"/>
  <dataValidations count="2">
    <dataValidation type="whole" allowBlank="1" showInputMessage="1" showErrorMessage="1" prompt="1: Qagi" sqref="B11" xr:uid="{00000000-0002-0000-0D00-000000000000}">
      <formula1>1</formula1>
      <formula2>1</formula2>
    </dataValidation>
    <dataValidation type="whole" allowBlank="1" showInputMessage="1" showErrorMessage="1" prompt="0: Callback version_x000a_1: Reverse communication version" sqref="B12" xr:uid="{F9AF5608-09AA-4968-9E8D-BAD4C5DCE74B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Qad_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Qad_Start_2">
                <anchor moveWithCells="1" sizeWithCells="1">
                  <from>
                    <xdr:col>1</xdr:col>
                    <xdr:colOff>0</xdr:colOff>
                    <xdr:row>1</xdr:row>
                    <xdr:rowOff>165100</xdr:rowOff>
                  </from>
                  <to>
                    <xdr:col>2</xdr:col>
                    <xdr:colOff>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12"/>
  <sheetViews>
    <sheetView workbookViewId="0"/>
  </sheetViews>
  <sheetFormatPr defaultColWidth="8.90625" defaultRowHeight="13" x14ac:dyDescent="0.2"/>
  <cols>
    <col min="1" max="1" width="13.36328125" customWidth="1"/>
    <col min="2" max="2" width="13.6328125" customWidth="1"/>
    <col min="3" max="3" width="11.08984375" customWidth="1"/>
    <col min="4" max="5" width="14.36328125" customWidth="1"/>
    <col min="6" max="6" width="12.6328125" customWidth="1"/>
    <col min="7" max="8" width="14.36328125" customWidth="1"/>
  </cols>
  <sheetData>
    <row r="1" spans="1:8" x14ac:dyDescent="0.2">
      <c r="A1" s="14" t="s">
        <v>207</v>
      </c>
    </row>
    <row r="3" spans="1:8" x14ac:dyDescent="0.2">
      <c r="A3" s="16"/>
      <c r="F3" t="s">
        <v>201</v>
      </c>
    </row>
    <row r="5" spans="1:8" x14ac:dyDescent="0.2">
      <c r="A5" t="s">
        <v>197</v>
      </c>
      <c r="D5" t="s">
        <v>229</v>
      </c>
    </row>
    <row r="6" spans="1:8" x14ac:dyDescent="0.2">
      <c r="A6" s="1" t="s">
        <v>5</v>
      </c>
      <c r="B6" s="37">
        <v>-1.4939327642617182</v>
      </c>
      <c r="D6" s="45" t="s">
        <v>59</v>
      </c>
      <c r="E6" s="45" t="s">
        <v>36</v>
      </c>
      <c r="F6" s="45" t="s">
        <v>167</v>
      </c>
      <c r="G6" s="45" t="s">
        <v>208</v>
      </c>
      <c r="H6" s="45" t="s">
        <v>199</v>
      </c>
    </row>
    <row r="7" spans="1:8" x14ac:dyDescent="0.2">
      <c r="A7" s="1" t="s">
        <v>6</v>
      </c>
      <c r="B7" s="15">
        <f>1/(1+B6*B6)</f>
        <v>0.30942172721641859</v>
      </c>
      <c r="C7" s="61"/>
      <c r="D7" s="86" t="s">
        <v>60</v>
      </c>
      <c r="E7" s="86" t="s">
        <v>57</v>
      </c>
      <c r="F7" s="37">
        <v>150</v>
      </c>
      <c r="G7" s="37">
        <v>3.1415926535897931</v>
      </c>
      <c r="H7" s="37">
        <v>2.5779659138999894E-10</v>
      </c>
    </row>
    <row r="8" spans="1:8" x14ac:dyDescent="0.2">
      <c r="A8" s="1" t="s">
        <v>209</v>
      </c>
      <c r="B8" s="58">
        <v>1E-10</v>
      </c>
    </row>
    <row r="10" spans="1:8" x14ac:dyDescent="0.2">
      <c r="A10" s="73" t="s">
        <v>142</v>
      </c>
    </row>
    <row r="11" spans="1:8" x14ac:dyDescent="0.2">
      <c r="A11" s="1" t="s">
        <v>61</v>
      </c>
      <c r="B11" s="37">
        <v>0</v>
      </c>
    </row>
    <row r="12" spans="1:8" x14ac:dyDescent="0.2">
      <c r="A12" s="1" t="s">
        <v>219</v>
      </c>
      <c r="B12" s="15">
        <v>0</v>
      </c>
    </row>
  </sheetData>
  <phoneticPr fontId="1"/>
  <dataValidations count="2">
    <dataValidation type="whole" allowBlank="1" showInputMessage="1" showErrorMessage="1" prompt="0: Qagi" sqref="B11" xr:uid="{00000000-0002-0000-0E00-000000000000}">
      <formula1>0</formula1>
      <formula2>0</formula2>
    </dataValidation>
    <dataValidation type="whole" allowBlank="1" showInputMessage="1" showErrorMessage="1" prompt="0: Callback version_x000a_1: Reverse communication version" sqref="B12" xr:uid="{898EC0F3-555F-4F6D-99C5-FE61E230BC4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Qad_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Qad_Start_3">
                <anchor moveWithCells="1" sizeWithCells="1">
                  <from>
                    <xdr:col>1</xdr:col>
                    <xdr:colOff>0</xdr:colOff>
                    <xdr:row>1</xdr:row>
                    <xdr:rowOff>165100</xdr:rowOff>
                  </from>
                  <to>
                    <xdr:col>2</xdr:col>
                    <xdr:colOff>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I58"/>
  <sheetViews>
    <sheetView workbookViewId="0"/>
  </sheetViews>
  <sheetFormatPr defaultColWidth="8.90625"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4" t="s">
        <v>191</v>
      </c>
    </row>
    <row r="2" spans="1:9" x14ac:dyDescent="0.2">
      <c r="A2" s="16"/>
    </row>
    <row r="3" spans="1:9" x14ac:dyDescent="0.2">
      <c r="F3" t="s">
        <v>103</v>
      </c>
      <c r="G3" t="s">
        <v>241</v>
      </c>
    </row>
    <row r="4" spans="1:9" x14ac:dyDescent="0.2">
      <c r="A4" s="61"/>
      <c r="G4" t="s">
        <v>242</v>
      </c>
    </row>
    <row r="5" spans="1:9" x14ac:dyDescent="0.2">
      <c r="A5" t="s">
        <v>193</v>
      </c>
      <c r="D5" t="s">
        <v>231</v>
      </c>
    </row>
    <row r="6" spans="1:9" x14ac:dyDescent="0.2">
      <c r="A6" s="1" t="s">
        <v>62</v>
      </c>
      <c r="B6" s="15">
        <v>2</v>
      </c>
      <c r="D6" s="45" t="s">
        <v>63</v>
      </c>
      <c r="E6" s="45" t="s">
        <v>192</v>
      </c>
      <c r="F6" s="45" t="s">
        <v>64</v>
      </c>
      <c r="G6" s="45" t="s">
        <v>65</v>
      </c>
      <c r="H6" s="45" t="s">
        <v>66</v>
      </c>
      <c r="I6" s="45" t="s">
        <v>67</v>
      </c>
    </row>
    <row r="7" spans="1:9" x14ac:dyDescent="0.2">
      <c r="A7" s="1" t="s">
        <v>68</v>
      </c>
      <c r="B7" s="58">
        <v>1E-10</v>
      </c>
      <c r="C7" s="61" t="s">
        <v>194</v>
      </c>
      <c r="D7" s="15">
        <v>0</v>
      </c>
      <c r="E7" s="37"/>
      <c r="F7" s="15">
        <v>1</v>
      </c>
      <c r="G7" s="15">
        <v>0</v>
      </c>
      <c r="H7" s="15"/>
      <c r="I7" s="15"/>
    </row>
    <row r="8" spans="1:9" x14ac:dyDescent="0.2">
      <c r="A8" s="1" t="s">
        <v>69</v>
      </c>
      <c r="B8" s="37">
        <v>10</v>
      </c>
      <c r="D8" s="17">
        <v>0.5</v>
      </c>
      <c r="E8" s="38">
        <v>95</v>
      </c>
      <c r="F8" s="38">
        <v>0.87758256191088391</v>
      </c>
      <c r="G8" s="38">
        <v>0.4794255386146864</v>
      </c>
      <c r="H8" s="38"/>
      <c r="I8" s="38"/>
    </row>
    <row r="9" spans="1:9" x14ac:dyDescent="0.2">
      <c r="A9" s="74" t="s">
        <v>70</v>
      </c>
      <c r="B9" s="38">
        <v>-0.83907152958970432</v>
      </c>
      <c r="D9" s="18">
        <v>1</v>
      </c>
      <c r="E9" s="39">
        <v>78</v>
      </c>
      <c r="F9" s="39">
        <v>0.5403023059034503</v>
      </c>
      <c r="G9" s="39">
        <v>0.84147098485949334</v>
      </c>
      <c r="H9" s="39"/>
      <c r="I9" s="39"/>
    </row>
    <row r="10" spans="1:9" x14ac:dyDescent="0.2">
      <c r="A10" s="75" t="s">
        <v>71</v>
      </c>
      <c r="B10" s="39">
        <v>-0.54402111120130459</v>
      </c>
      <c r="D10" s="18">
        <v>1.5</v>
      </c>
      <c r="E10" s="39">
        <v>84</v>
      </c>
      <c r="F10" s="39">
        <v>7.0737201676863037E-2</v>
      </c>
      <c r="G10" s="39">
        <v>0.99749498669535874</v>
      </c>
      <c r="H10" s="39"/>
      <c r="I10" s="39"/>
    </row>
    <row r="11" spans="1:9" x14ac:dyDescent="0.2">
      <c r="A11" s="75" t="s">
        <v>72</v>
      </c>
      <c r="B11" s="39"/>
      <c r="D11" s="18">
        <v>2</v>
      </c>
      <c r="E11" s="39">
        <v>90</v>
      </c>
      <c r="F11" s="39">
        <v>-0.41614683659161888</v>
      </c>
      <c r="G11" s="39">
        <v>0.90929742693077287</v>
      </c>
      <c r="H11" s="39"/>
      <c r="I11" s="39"/>
    </row>
    <row r="12" spans="1:9" x14ac:dyDescent="0.2">
      <c r="A12" s="76" t="s">
        <v>73</v>
      </c>
      <c r="B12" s="40"/>
      <c r="D12" s="18">
        <v>2.5</v>
      </c>
      <c r="E12" s="39">
        <v>78</v>
      </c>
      <c r="F12" s="39">
        <v>-0.80114361566662085</v>
      </c>
      <c r="G12" s="39">
        <v>0.59847214419893113</v>
      </c>
      <c r="H12" s="39"/>
      <c r="I12" s="39"/>
    </row>
    <row r="13" spans="1:9" x14ac:dyDescent="0.2">
      <c r="A13" s="74" t="s">
        <v>74</v>
      </c>
      <c r="B13" s="17">
        <f>-B10</f>
        <v>0.54402111120130459</v>
      </c>
      <c r="D13" s="18">
        <v>3</v>
      </c>
      <c r="E13" s="39">
        <v>84</v>
      </c>
      <c r="F13" s="39">
        <v>-0.98999249678216339</v>
      </c>
      <c r="G13" s="39">
        <v>0.141120008091213</v>
      </c>
      <c r="H13" s="39"/>
      <c r="I13" s="39"/>
    </row>
    <row r="14" spans="1:9" x14ac:dyDescent="0.2">
      <c r="A14" s="75" t="s">
        <v>75</v>
      </c>
      <c r="B14" s="18">
        <f>B9</f>
        <v>-0.83907152958970432</v>
      </c>
      <c r="D14" s="18">
        <v>3.5</v>
      </c>
      <c r="E14" s="39">
        <v>90</v>
      </c>
      <c r="F14" s="39">
        <v>-0.93645668748580602</v>
      </c>
      <c r="G14" s="39">
        <v>-0.3507832277562834</v>
      </c>
      <c r="H14" s="39"/>
      <c r="I14" s="39"/>
    </row>
    <row r="15" spans="1:9" x14ac:dyDescent="0.2">
      <c r="A15" s="75" t="s">
        <v>76</v>
      </c>
      <c r="B15" s="18"/>
      <c r="D15" s="18">
        <v>4</v>
      </c>
      <c r="E15" s="39">
        <v>84</v>
      </c>
      <c r="F15" s="39">
        <v>-0.65364362102594786</v>
      </c>
      <c r="G15" s="39">
        <v>-0.7568024954851692</v>
      </c>
      <c r="H15" s="39"/>
      <c r="I15" s="39"/>
    </row>
    <row r="16" spans="1:9" x14ac:dyDescent="0.2">
      <c r="A16" s="76" t="s">
        <v>77</v>
      </c>
      <c r="B16" s="19"/>
      <c r="D16" s="18">
        <v>4.5</v>
      </c>
      <c r="E16" s="39">
        <v>84</v>
      </c>
      <c r="F16" s="39">
        <v>-0.21079579949655189</v>
      </c>
      <c r="G16" s="39">
        <v>-0.97753011793197186</v>
      </c>
      <c r="H16" s="39"/>
      <c r="I16" s="39"/>
    </row>
    <row r="17" spans="1:9" x14ac:dyDescent="0.2">
      <c r="D17" s="19">
        <v>5</v>
      </c>
      <c r="E17" s="40">
        <v>90</v>
      </c>
      <c r="F17" s="40">
        <v>0.28366218553902145</v>
      </c>
      <c r="G17" s="40">
        <v>-0.9589242749497674</v>
      </c>
      <c r="H17" s="40"/>
      <c r="I17" s="40"/>
    </row>
    <row r="18" spans="1:9" x14ac:dyDescent="0.2">
      <c r="A18" s="73" t="s">
        <v>142</v>
      </c>
      <c r="D18" s="87">
        <v>5.5</v>
      </c>
      <c r="E18" s="64">
        <v>84</v>
      </c>
      <c r="F18" s="64">
        <v>0.70866977451669289</v>
      </c>
      <c r="G18" s="64">
        <v>-0.7055403258082924</v>
      </c>
      <c r="H18" s="64"/>
      <c r="I18" s="64"/>
    </row>
    <row r="19" spans="1:9" x14ac:dyDescent="0.2">
      <c r="A19" s="1" t="s">
        <v>49</v>
      </c>
      <c r="B19" s="37">
        <v>0</v>
      </c>
      <c r="D19" s="18">
        <v>6</v>
      </c>
      <c r="E19" s="39">
        <v>78</v>
      </c>
      <c r="F19" s="39">
        <v>0.96017028699953255</v>
      </c>
      <c r="G19" s="39">
        <v>-0.27941549831170992</v>
      </c>
      <c r="H19" s="39"/>
      <c r="I19" s="39"/>
    </row>
    <row r="20" spans="1:9" x14ac:dyDescent="0.2">
      <c r="A20" s="1" t="s">
        <v>219</v>
      </c>
      <c r="B20" s="15">
        <v>0</v>
      </c>
      <c r="D20" s="18">
        <v>6.5</v>
      </c>
      <c r="E20" s="39">
        <v>90</v>
      </c>
      <c r="F20" s="39">
        <v>0.97658762611027716</v>
      </c>
      <c r="G20" s="39">
        <v>0.21511998816041097</v>
      </c>
      <c r="H20" s="39"/>
      <c r="I20" s="39"/>
    </row>
    <row r="21" spans="1:9" x14ac:dyDescent="0.2">
      <c r="A21" s="1" t="s">
        <v>230</v>
      </c>
      <c r="B21" s="15">
        <v>0</v>
      </c>
      <c r="D21" s="18">
        <v>7</v>
      </c>
      <c r="E21" s="39">
        <v>84</v>
      </c>
      <c r="F21" s="39">
        <v>0.75390225466632421</v>
      </c>
      <c r="G21" s="39">
        <v>0.65698659898414413</v>
      </c>
      <c r="H21" s="39"/>
      <c r="I21" s="39"/>
    </row>
    <row r="22" spans="1:9" x14ac:dyDescent="0.2">
      <c r="D22" s="18">
        <v>7.5</v>
      </c>
      <c r="E22" s="39">
        <v>78</v>
      </c>
      <c r="F22" s="39">
        <v>0.34663531800626413</v>
      </c>
      <c r="G22" s="39">
        <v>0.93799997719948713</v>
      </c>
      <c r="H22" s="39"/>
      <c r="I22" s="39"/>
    </row>
    <row r="23" spans="1:9" x14ac:dyDescent="0.2">
      <c r="D23" s="18">
        <v>8</v>
      </c>
      <c r="E23" s="39">
        <v>90</v>
      </c>
      <c r="F23" s="39">
        <v>-0.14550003386472224</v>
      </c>
      <c r="G23" s="39">
        <v>0.98935824710133735</v>
      </c>
      <c r="H23" s="39"/>
      <c r="I23" s="39"/>
    </row>
    <row r="24" spans="1:9" x14ac:dyDescent="0.2">
      <c r="D24" s="18">
        <v>8.5</v>
      </c>
      <c r="E24" s="39">
        <v>84</v>
      </c>
      <c r="F24" s="39">
        <v>-0.60201190297906004</v>
      </c>
      <c r="G24" s="39">
        <v>0.79848711303834696</v>
      </c>
      <c r="H24" s="39"/>
      <c r="I24" s="39"/>
    </row>
    <row r="25" spans="1:9" x14ac:dyDescent="0.2">
      <c r="D25" s="18">
        <v>9</v>
      </c>
      <c r="E25" s="39">
        <v>78</v>
      </c>
      <c r="F25" s="39">
        <v>-0.91113026237801797</v>
      </c>
      <c r="G25" s="39">
        <v>0.41211848548250657</v>
      </c>
      <c r="H25" s="39"/>
      <c r="I25" s="39"/>
    </row>
    <row r="26" spans="1:9" x14ac:dyDescent="0.2">
      <c r="D26" s="18">
        <v>9.5</v>
      </c>
      <c r="E26" s="39">
        <v>90</v>
      </c>
      <c r="F26" s="39">
        <v>-0.99717215676975612</v>
      </c>
      <c r="G26" s="39">
        <v>-7.5151120488236273E-2</v>
      </c>
      <c r="H26" s="39"/>
      <c r="I26" s="39"/>
    </row>
    <row r="27" spans="1:9" x14ac:dyDescent="0.2">
      <c r="D27" s="19">
        <v>10</v>
      </c>
      <c r="E27" s="40">
        <v>84</v>
      </c>
      <c r="F27" s="40">
        <v>-0.83907152958970432</v>
      </c>
      <c r="G27" s="40">
        <v>-0.54402111120130459</v>
      </c>
      <c r="H27" s="40"/>
      <c r="I27" s="40"/>
    </row>
    <row r="28" spans="1:9" x14ac:dyDescent="0.2">
      <c r="D28" s="87"/>
      <c r="E28" s="64"/>
      <c r="F28" s="64"/>
      <c r="G28" s="64"/>
      <c r="H28" s="64"/>
      <c r="I28" s="64"/>
    </row>
    <row r="29" spans="1:9" x14ac:dyDescent="0.2">
      <c r="D29" s="18"/>
      <c r="E29" s="39"/>
      <c r="F29" s="39"/>
      <c r="G29" s="39"/>
      <c r="H29" s="39"/>
      <c r="I29" s="39"/>
    </row>
    <row r="30" spans="1:9" x14ac:dyDescent="0.2">
      <c r="D30" s="18"/>
      <c r="E30" s="39"/>
      <c r="F30" s="39"/>
      <c r="G30" s="39"/>
      <c r="H30" s="39"/>
      <c r="I30" s="39"/>
    </row>
    <row r="31" spans="1:9" x14ac:dyDescent="0.2">
      <c r="D31" s="18"/>
      <c r="E31" s="39"/>
      <c r="F31" s="39"/>
      <c r="G31" s="39"/>
      <c r="H31" s="39"/>
      <c r="I31" s="39"/>
    </row>
    <row r="32" spans="1:9" x14ac:dyDescent="0.2">
      <c r="D32" s="18"/>
      <c r="E32" s="39"/>
      <c r="F32" s="39"/>
      <c r="G32" s="39"/>
      <c r="H32" s="39"/>
      <c r="I32" s="39"/>
    </row>
    <row r="33" spans="4:9" x14ac:dyDescent="0.2">
      <c r="D33" s="18"/>
      <c r="E33" s="39"/>
      <c r="F33" s="39"/>
      <c r="G33" s="39"/>
      <c r="H33" s="39"/>
      <c r="I33" s="39"/>
    </row>
    <row r="34" spans="4:9" x14ac:dyDescent="0.2">
      <c r="D34" s="18"/>
      <c r="E34" s="39"/>
      <c r="F34" s="39"/>
      <c r="G34" s="39"/>
      <c r="H34" s="39"/>
      <c r="I34" s="39"/>
    </row>
    <row r="35" spans="4:9" x14ac:dyDescent="0.2">
      <c r="D35" s="18"/>
      <c r="E35" s="39"/>
      <c r="F35" s="39"/>
      <c r="G35" s="39"/>
      <c r="H35" s="39"/>
      <c r="I35" s="39"/>
    </row>
    <row r="36" spans="4:9" x14ac:dyDescent="0.2">
      <c r="D36" s="18"/>
      <c r="E36" s="39"/>
      <c r="F36" s="39"/>
      <c r="G36" s="39"/>
      <c r="H36" s="39"/>
      <c r="I36" s="39"/>
    </row>
    <row r="37" spans="4:9" x14ac:dyDescent="0.2">
      <c r="D37" s="19"/>
      <c r="E37" s="40"/>
      <c r="F37" s="40"/>
      <c r="G37" s="40"/>
      <c r="H37" s="40"/>
      <c r="I37" s="40"/>
    </row>
    <row r="38" spans="4:9" x14ac:dyDescent="0.2">
      <c r="D38" s="87"/>
      <c r="E38" s="64"/>
      <c r="F38" s="64"/>
      <c r="G38" s="64"/>
      <c r="H38" s="64"/>
      <c r="I38" s="64"/>
    </row>
    <row r="39" spans="4:9" x14ac:dyDescent="0.2">
      <c r="D39" s="18"/>
      <c r="E39" s="39"/>
      <c r="F39" s="39"/>
      <c r="G39" s="39"/>
      <c r="H39" s="39"/>
      <c r="I39" s="39"/>
    </row>
    <row r="40" spans="4:9" x14ac:dyDescent="0.2">
      <c r="D40" s="18"/>
      <c r="E40" s="39"/>
      <c r="F40" s="39"/>
      <c r="G40" s="39"/>
      <c r="H40" s="39"/>
      <c r="I40" s="39"/>
    </row>
    <row r="41" spans="4:9" x14ac:dyDescent="0.2">
      <c r="D41" s="18"/>
      <c r="E41" s="39"/>
      <c r="F41" s="39"/>
      <c r="G41" s="39"/>
      <c r="H41" s="39"/>
      <c r="I41" s="39"/>
    </row>
    <row r="42" spans="4:9" x14ac:dyDescent="0.2">
      <c r="D42" s="18"/>
      <c r="E42" s="39"/>
      <c r="F42" s="39"/>
      <c r="G42" s="39"/>
      <c r="H42" s="39"/>
      <c r="I42" s="39"/>
    </row>
    <row r="43" spans="4:9" x14ac:dyDescent="0.2">
      <c r="D43" s="18"/>
      <c r="E43" s="39"/>
      <c r="F43" s="39"/>
      <c r="G43" s="39"/>
      <c r="H43" s="39"/>
      <c r="I43" s="39"/>
    </row>
    <row r="44" spans="4:9" x14ac:dyDescent="0.2">
      <c r="D44" s="18"/>
      <c r="E44" s="39"/>
      <c r="F44" s="39"/>
      <c r="G44" s="39"/>
      <c r="H44" s="39"/>
      <c r="I44" s="39"/>
    </row>
    <row r="45" spans="4:9" x14ac:dyDescent="0.2">
      <c r="D45" s="18"/>
      <c r="E45" s="39"/>
      <c r="F45" s="39"/>
      <c r="G45" s="39"/>
      <c r="H45" s="39"/>
      <c r="I45" s="39"/>
    </row>
    <row r="46" spans="4:9" x14ac:dyDescent="0.2">
      <c r="D46" s="18"/>
      <c r="E46" s="39"/>
      <c r="F46" s="39"/>
      <c r="G46" s="39"/>
      <c r="H46" s="39"/>
      <c r="I46" s="39"/>
    </row>
    <row r="47" spans="4:9" x14ac:dyDescent="0.2">
      <c r="D47" s="19"/>
      <c r="E47" s="40"/>
      <c r="F47" s="40"/>
      <c r="G47" s="40"/>
      <c r="H47" s="40"/>
      <c r="I47" s="40"/>
    </row>
    <row r="48" spans="4:9" x14ac:dyDescent="0.2">
      <c r="D48" s="87"/>
      <c r="E48" s="64"/>
      <c r="F48" s="64"/>
      <c r="G48" s="64"/>
      <c r="H48" s="64"/>
      <c r="I48" s="64"/>
    </row>
    <row r="49" spans="4:9" x14ac:dyDescent="0.2">
      <c r="D49" s="18"/>
      <c r="E49" s="39"/>
      <c r="F49" s="39"/>
      <c r="G49" s="39"/>
      <c r="H49" s="39"/>
      <c r="I49" s="39"/>
    </row>
    <row r="50" spans="4:9" x14ac:dyDescent="0.2">
      <c r="D50" s="18"/>
      <c r="E50" s="39"/>
      <c r="F50" s="39"/>
      <c r="G50" s="39"/>
      <c r="H50" s="39"/>
      <c r="I50" s="39"/>
    </row>
    <row r="51" spans="4:9" x14ac:dyDescent="0.2">
      <c r="D51" s="18"/>
      <c r="E51" s="39"/>
      <c r="F51" s="39"/>
      <c r="G51" s="39"/>
      <c r="H51" s="39"/>
      <c r="I51" s="39"/>
    </row>
    <row r="52" spans="4:9" x14ac:dyDescent="0.2">
      <c r="D52" s="18"/>
      <c r="E52" s="39"/>
      <c r="F52" s="39"/>
      <c r="G52" s="39"/>
      <c r="H52" s="39"/>
      <c r="I52" s="39"/>
    </row>
    <row r="53" spans="4:9" x14ac:dyDescent="0.2">
      <c r="D53" s="18"/>
      <c r="E53" s="39"/>
      <c r="F53" s="39"/>
      <c r="G53" s="39"/>
      <c r="H53" s="39"/>
      <c r="I53" s="39"/>
    </row>
    <row r="54" spans="4:9" x14ac:dyDescent="0.2">
      <c r="D54" s="18"/>
      <c r="E54" s="39"/>
      <c r="F54" s="39"/>
      <c r="G54" s="39"/>
      <c r="H54" s="39"/>
      <c r="I54" s="39"/>
    </row>
    <row r="55" spans="4:9" x14ac:dyDescent="0.2">
      <c r="D55" s="18"/>
      <c r="E55" s="39"/>
      <c r="F55" s="39"/>
      <c r="G55" s="39"/>
      <c r="H55" s="39"/>
      <c r="I55" s="39"/>
    </row>
    <row r="56" spans="4:9" x14ac:dyDescent="0.2">
      <c r="D56" s="18"/>
      <c r="E56" s="39"/>
      <c r="F56" s="39"/>
      <c r="G56" s="39"/>
      <c r="H56" s="39"/>
      <c r="I56" s="39"/>
    </row>
    <row r="57" spans="4:9" x14ac:dyDescent="0.2">
      <c r="D57" s="19"/>
      <c r="E57" s="40"/>
      <c r="F57" s="40"/>
      <c r="G57" s="40"/>
      <c r="H57" s="40"/>
      <c r="I57" s="40"/>
    </row>
    <row r="58" spans="4:9" x14ac:dyDescent="0.2">
      <c r="E58" s="37">
        <f>SUM(E8:E57)</f>
        <v>1697</v>
      </c>
    </row>
  </sheetData>
  <phoneticPr fontId="1"/>
  <dataValidations count="4">
    <dataValidation type="whole" allowBlank="1" showInputMessage="1" showErrorMessage="1" sqref="B6" xr:uid="{00000000-0002-0000-0F00-000000000000}">
      <formula1>1</formula1>
      <formula2>4</formula2>
    </dataValidation>
    <dataValidation type="whole" allowBlank="1" showInputMessage="1" showErrorMessage="1" prompt="0: Derkf" sqref="B19" xr:uid="{00000000-0002-0000-0F00-000001000000}">
      <formula1>0</formula1>
      <formula2>0</formula2>
    </dataValidation>
    <dataValidation type="whole" allowBlank="1" showInputMessage="1" showErrorMessage="1" prompt="0: Callback version_x000a_1: Reverse communication version" sqref="B20" xr:uid="{E750E25B-E3BF-405B-A6CC-7F2AEE41A5CE}">
      <formula1>0</formula1>
      <formula2>1</formula2>
    </dataValidation>
    <dataValidation type="whole" allowBlank="1" showInputMessage="1" showErrorMessage="1" prompt="0: No dense output_x000a_1: Dense output" sqref="B21" xr:uid="{AD523210-D4EE-E940-B830-1212D2CC5EF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DE_Clear">
                <anchor moveWithCells="1" sizeWithCells="1">
                  <from>
                    <xdr:col>3</xdr:col>
                    <xdr:colOff>12700</xdr:colOff>
                    <xdr:row>1</xdr:row>
                    <xdr:rowOff>165100</xdr:rowOff>
                  </from>
                  <to>
                    <xdr:col>3</xdr:col>
                    <xdr:colOff>1174750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ODE_Start">
                <anchor moveWithCells="1" sizeWithCells="1">
                  <from>
                    <xdr:col>1</xdr:col>
                    <xdr:colOff>31750</xdr:colOff>
                    <xdr:row>1</xdr:row>
                    <xdr:rowOff>165100</xdr:rowOff>
                  </from>
                  <to>
                    <xdr:col>1</xdr:col>
                    <xdr:colOff>1181100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5D739-E68C-49E5-8FFA-95957F559EB0}">
  <sheetPr codeName="Sheet19"/>
  <dimension ref="A1:I58"/>
  <sheetViews>
    <sheetView workbookViewId="0"/>
  </sheetViews>
  <sheetFormatPr defaultColWidth="8.90625"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4" t="s">
        <v>232</v>
      </c>
    </row>
    <row r="2" spans="1:9" x14ac:dyDescent="0.2">
      <c r="A2" s="16"/>
    </row>
    <row r="3" spans="1:9" x14ac:dyDescent="0.2">
      <c r="F3" t="s">
        <v>103</v>
      </c>
      <c r="G3" t="s">
        <v>239</v>
      </c>
    </row>
    <row r="4" spans="1:9" x14ac:dyDescent="0.2">
      <c r="A4" s="61"/>
      <c r="G4" t="s">
        <v>240</v>
      </c>
    </row>
    <row r="5" spans="1:9" x14ac:dyDescent="0.2">
      <c r="A5" t="s">
        <v>193</v>
      </c>
      <c r="D5" t="s">
        <v>238</v>
      </c>
    </row>
    <row r="6" spans="1:9" x14ac:dyDescent="0.2">
      <c r="A6" s="1" t="s">
        <v>62</v>
      </c>
      <c r="B6" s="15">
        <v>2</v>
      </c>
      <c r="D6" s="45" t="s">
        <v>63</v>
      </c>
      <c r="E6" s="45" t="s">
        <v>192</v>
      </c>
      <c r="F6" s="59" t="s">
        <v>64</v>
      </c>
      <c r="G6" s="60" t="s">
        <v>65</v>
      </c>
      <c r="H6" s="59" t="s">
        <v>233</v>
      </c>
      <c r="I6" s="60" t="s">
        <v>234</v>
      </c>
    </row>
    <row r="7" spans="1:9" x14ac:dyDescent="0.2">
      <c r="A7" s="1" t="s">
        <v>235</v>
      </c>
      <c r="B7" s="58">
        <v>1E-10</v>
      </c>
      <c r="C7" s="61" t="s">
        <v>194</v>
      </c>
      <c r="D7" s="15">
        <v>0</v>
      </c>
      <c r="E7" s="37"/>
      <c r="F7" s="70">
        <v>1</v>
      </c>
      <c r="G7" s="72">
        <v>0</v>
      </c>
      <c r="H7" s="70">
        <v>0</v>
      </c>
      <c r="I7" s="72">
        <f>SQRT(3)</f>
        <v>1.7320508075688772</v>
      </c>
    </row>
    <row r="8" spans="1:9" x14ac:dyDescent="0.2">
      <c r="A8" s="1" t="s">
        <v>69</v>
      </c>
      <c r="B8" s="37">
        <v>10</v>
      </c>
      <c r="D8" s="17">
        <v>0.5</v>
      </c>
      <c r="E8" s="38">
        <v>358</v>
      </c>
      <c r="F8" s="38">
        <v>0.88948230436055853</v>
      </c>
      <c r="G8" s="38">
        <v>0.83650981742883468</v>
      </c>
      <c r="H8" s="38">
        <v>-0.39553247564581573</v>
      </c>
      <c r="I8" s="38">
        <v>1.5752803578267176</v>
      </c>
    </row>
    <row r="9" spans="1:9" x14ac:dyDescent="0.2">
      <c r="A9" s="74" t="s">
        <v>70</v>
      </c>
      <c r="B9" s="38">
        <v>-4.3466837839882624</v>
      </c>
      <c r="D9" s="18">
        <v>1</v>
      </c>
      <c r="E9" s="39">
        <v>228</v>
      </c>
      <c r="F9" s="39">
        <v>0.64991230897282637</v>
      </c>
      <c r="G9" s="39">
        <v>1.5710539130475156</v>
      </c>
      <c r="H9" s="39">
        <v>-0.53350282951944705</v>
      </c>
      <c r="I9" s="39">
        <v>1.3753995693798771</v>
      </c>
    </row>
    <row r="10" spans="1:9" x14ac:dyDescent="0.2">
      <c r="A10" s="75" t="s">
        <v>71</v>
      </c>
      <c r="B10" s="39">
        <v>10.855467682849593</v>
      </c>
      <c r="D10" s="18">
        <v>1.5</v>
      </c>
      <c r="E10" s="39">
        <v>168</v>
      </c>
      <c r="F10" s="39">
        <v>0.37215622035995694</v>
      </c>
      <c r="G10" s="39">
        <v>2.224775550895</v>
      </c>
      <c r="H10" s="39">
        <v>-0.56943823748350941</v>
      </c>
      <c r="I10" s="39">
        <v>1.2499550942885709</v>
      </c>
    </row>
    <row r="11" spans="1:9" x14ac:dyDescent="0.2">
      <c r="A11" s="75"/>
      <c r="B11" s="39"/>
      <c r="D11" s="18">
        <v>2</v>
      </c>
      <c r="E11" s="39">
        <v>126</v>
      </c>
      <c r="F11" s="39">
        <v>8.494108578865063E-2</v>
      </c>
      <c r="G11" s="39">
        <v>2.8288428940254668</v>
      </c>
      <c r="H11" s="39">
        <v>-0.57709017856080447</v>
      </c>
      <c r="I11" s="39">
        <v>1.1720287164565257</v>
      </c>
    </row>
    <row r="12" spans="1:9" x14ac:dyDescent="0.2">
      <c r="A12" s="76"/>
      <c r="B12" s="40"/>
      <c r="D12" s="18">
        <v>2.5</v>
      </c>
      <c r="E12" s="39">
        <v>96</v>
      </c>
      <c r="F12" s="39">
        <v>-0.20359249305495111</v>
      </c>
      <c r="G12" s="39">
        <v>3.4010968570946183</v>
      </c>
      <c r="H12" s="39">
        <v>-0.57631863394179406</v>
      </c>
      <c r="I12" s="39">
        <v>1.1202016324941373</v>
      </c>
    </row>
    <row r="13" spans="1:9" x14ac:dyDescent="0.2">
      <c r="A13" s="74" t="s">
        <v>236</v>
      </c>
      <c r="B13" s="17">
        <f>-B9/(B9^2 + B10^2)^1.5</f>
        <v>2.7185621985212766E-3</v>
      </c>
      <c r="D13" s="18">
        <v>3</v>
      </c>
      <c r="E13" s="39">
        <v>69</v>
      </c>
      <c r="F13" s="39">
        <v>-0.4909619274603344</v>
      </c>
      <c r="G13" s="39">
        <v>3.9515407328558658</v>
      </c>
      <c r="H13" s="39">
        <v>-0.57294494262897555</v>
      </c>
      <c r="I13" s="39">
        <v>1.0835146008894965</v>
      </c>
    </row>
    <row r="14" spans="1:9" x14ac:dyDescent="0.2">
      <c r="A14" s="75" t="s">
        <v>237</v>
      </c>
      <c r="B14" s="18">
        <f>-B10/(B9^2+B10^2)^1.5</f>
        <v>-6.7893745108797516E-3</v>
      </c>
      <c r="D14" s="18">
        <v>3.5</v>
      </c>
      <c r="E14" s="39">
        <v>54</v>
      </c>
      <c r="F14" s="39">
        <v>-0.77643033917039417</v>
      </c>
      <c r="G14" s="39">
        <v>4.4861672299832405</v>
      </c>
      <c r="H14" s="39">
        <v>-0.56889285444561366</v>
      </c>
      <c r="I14" s="39">
        <v>1.0562410655581165</v>
      </c>
    </row>
    <row r="15" spans="1:9" x14ac:dyDescent="0.2">
      <c r="A15" s="75"/>
      <c r="B15" s="39"/>
      <c r="D15" s="18">
        <v>4</v>
      </c>
      <c r="E15" s="39">
        <v>42</v>
      </c>
      <c r="F15" s="39">
        <v>-1.0598574283178117</v>
      </c>
      <c r="G15" s="39">
        <v>5.008810483436954</v>
      </c>
      <c r="H15" s="39">
        <v>-0.56484359651890259</v>
      </c>
      <c r="I15" s="39">
        <v>1.0351804071382742</v>
      </c>
    </row>
    <row r="16" spans="1:9" x14ac:dyDescent="0.2">
      <c r="A16" s="76"/>
      <c r="B16" s="40"/>
      <c r="D16" s="18">
        <v>4.5</v>
      </c>
      <c r="E16" s="39">
        <v>36</v>
      </c>
      <c r="F16" s="39">
        <v>-1.3413151565261192</v>
      </c>
      <c r="G16" s="39">
        <v>5.5220612780749532</v>
      </c>
      <c r="H16" s="39">
        <v>-0.56103661242946334</v>
      </c>
      <c r="I16" s="39">
        <v>1.0184240832966336</v>
      </c>
    </row>
    <row r="17" spans="1:9" x14ac:dyDescent="0.2">
      <c r="D17" s="19">
        <v>5</v>
      </c>
      <c r="E17" s="40">
        <v>33</v>
      </c>
      <c r="F17" s="40">
        <v>-1.6209465744982834</v>
      </c>
      <c r="G17" s="40">
        <v>6.0277493205704422</v>
      </c>
      <c r="H17" s="40">
        <v>-0.55754283648149661</v>
      </c>
      <c r="I17" s="40">
        <v>1.0047694202885467</v>
      </c>
    </row>
    <row r="18" spans="1:9" x14ac:dyDescent="0.2">
      <c r="A18" s="73" t="s">
        <v>142</v>
      </c>
      <c r="D18" s="87">
        <v>5.5</v>
      </c>
      <c r="E18" s="64">
        <v>30</v>
      </c>
      <c r="F18" s="64">
        <v>-1.8989111234969718</v>
      </c>
      <c r="G18" s="64">
        <v>6.5272140395312048</v>
      </c>
      <c r="H18" s="64">
        <v>-0.55436708809262769</v>
      </c>
      <c r="I18" s="64">
        <v>0.99342286485821008</v>
      </c>
    </row>
    <row r="19" spans="1:9" x14ac:dyDescent="0.2">
      <c r="A19" s="1" t="s">
        <v>18</v>
      </c>
      <c r="B19" s="37">
        <v>0</v>
      </c>
      <c r="D19" s="18">
        <v>6</v>
      </c>
      <c r="E19" s="39">
        <v>27</v>
      </c>
      <c r="F19" s="39">
        <v>-2.1753633161896415</v>
      </c>
      <c r="G19" s="39">
        <v>7.0214653282898292</v>
      </c>
      <c r="H19" s="39">
        <v>-0.55148902479996376</v>
      </c>
      <c r="I19" s="39">
        <v>0.98384032287990564</v>
      </c>
    </row>
    <row r="20" spans="1:9" x14ac:dyDescent="0.2">
      <c r="A20" s="1" t="s">
        <v>219</v>
      </c>
      <c r="B20" s="15">
        <v>0</v>
      </c>
      <c r="D20" s="18">
        <v>6.5</v>
      </c>
      <c r="E20" s="39">
        <v>24</v>
      </c>
      <c r="F20" s="39">
        <v>-2.4504450177970947</v>
      </c>
      <c r="G20" s="39">
        <v>7.5112835794941644</v>
      </c>
      <c r="H20" s="39">
        <v>-0.5488801596447741</v>
      </c>
      <c r="I20" s="39">
        <v>0.97563650167989124</v>
      </c>
    </row>
    <row r="21" spans="1:9" x14ac:dyDescent="0.2">
      <c r="A21" s="1" t="s">
        <v>230</v>
      </c>
      <c r="B21" s="15">
        <v>0</v>
      </c>
      <c r="D21" s="18">
        <v>7</v>
      </c>
      <c r="E21" s="39">
        <v>21</v>
      </c>
      <c r="F21" s="39">
        <v>-2.7242834126293625</v>
      </c>
      <c r="G21" s="39">
        <v>7.9972844901920448</v>
      </c>
      <c r="H21" s="39">
        <v>-0.54651098331002046</v>
      </c>
      <c r="I21" s="39">
        <v>0.96853097832502122</v>
      </c>
    </row>
    <row r="22" spans="1:9" x14ac:dyDescent="0.2">
      <c r="D22" s="18">
        <v>7.5</v>
      </c>
      <c r="E22" s="39">
        <v>21</v>
      </c>
      <c r="F22" s="39">
        <v>-2.9969913215282835</v>
      </c>
      <c r="G22" s="39">
        <v>8.4799625087332622</v>
      </c>
      <c r="H22" s="39">
        <v>-0.54435382677753796</v>
      </c>
      <c r="I22" s="39">
        <v>0.96231480057130947</v>
      </c>
    </row>
    <row r="23" spans="1:9" x14ac:dyDescent="0.2">
      <c r="D23" s="18">
        <v>8</v>
      </c>
      <c r="E23" s="39">
        <v>18</v>
      </c>
      <c r="F23" s="39">
        <v>-3.268668419458336</v>
      </c>
      <c r="G23" s="39">
        <v>8.959720835101356</v>
      </c>
      <c r="H23" s="39">
        <v>-0.54238385181115112</v>
      </c>
      <c r="I23" s="39">
        <v>0.95682906754561592</v>
      </c>
    </row>
    <row r="24" spans="1:9" x14ac:dyDescent="0.2">
      <c r="D24" s="18">
        <v>8.5</v>
      </c>
      <c r="E24" s="39">
        <v>18</v>
      </c>
      <c r="F24" s="39">
        <v>-3.539402715137804</v>
      </c>
      <c r="G24" s="39">
        <v>9.4368926722540998</v>
      </c>
      <c r="H24" s="39">
        <v>-0.54057922233824351</v>
      </c>
      <c r="I24" s="39">
        <v>0.95195077455330812</v>
      </c>
    </row>
    <row r="25" spans="1:9" x14ac:dyDescent="0.2">
      <c r="D25" s="18">
        <v>9</v>
      </c>
      <c r="E25" s="39">
        <v>18</v>
      </c>
      <c r="F25" s="39">
        <v>-3.8092720176468058</v>
      </c>
      <c r="G25" s="39">
        <v>9.9117566218950355</v>
      </c>
      <c r="H25" s="39">
        <v>-0.5389209324651264</v>
      </c>
      <c r="I25" s="39">
        <v>0.9475832008579288</v>
      </c>
    </row>
    <row r="26" spans="1:9" x14ac:dyDescent="0.2">
      <c r="D26" s="18">
        <v>9.5</v>
      </c>
      <c r="E26" s="39">
        <v>15</v>
      </c>
      <c r="F26" s="39">
        <v>-4.0783452798375555</v>
      </c>
      <c r="G26" s="39">
        <v>10.384548058773868</v>
      </c>
      <c r="H26" s="39">
        <v>-0.53739250953101814</v>
      </c>
      <c r="I26" s="39">
        <v>0.94364923126350098</v>
      </c>
    </row>
    <row r="27" spans="1:9" x14ac:dyDescent="0.2">
      <c r="D27" s="19">
        <v>10</v>
      </c>
      <c r="E27" s="40">
        <v>15</v>
      </c>
      <c r="F27" s="40">
        <v>-4.3466837839882624</v>
      </c>
      <c r="G27" s="40">
        <v>10.855467682849593</v>
      </c>
      <c r="H27" s="40">
        <v>-0.53597969062901485</v>
      </c>
      <c r="I27" s="40">
        <v>0.94008661697782236</v>
      </c>
    </row>
    <row r="28" spans="1:9" x14ac:dyDescent="0.2">
      <c r="D28" s="87"/>
      <c r="E28" s="64"/>
      <c r="F28" s="64"/>
      <c r="G28" s="64"/>
      <c r="H28" s="64"/>
      <c r="I28" s="64"/>
    </row>
    <row r="29" spans="1:9" x14ac:dyDescent="0.2">
      <c r="D29" s="18"/>
      <c r="E29" s="39"/>
      <c r="F29" s="39"/>
      <c r="G29" s="39"/>
      <c r="H29" s="39"/>
      <c r="I29" s="39"/>
    </row>
    <row r="30" spans="1:9" x14ac:dyDescent="0.2">
      <c r="D30" s="18"/>
      <c r="E30" s="39"/>
      <c r="F30" s="39"/>
      <c r="G30" s="39"/>
      <c r="H30" s="39"/>
      <c r="I30" s="39"/>
    </row>
    <row r="31" spans="1:9" x14ac:dyDescent="0.2">
      <c r="D31" s="18"/>
      <c r="E31" s="39"/>
      <c r="F31" s="39"/>
      <c r="G31" s="39"/>
      <c r="H31" s="39"/>
      <c r="I31" s="39"/>
    </row>
    <row r="32" spans="1:9" x14ac:dyDescent="0.2">
      <c r="D32" s="18"/>
      <c r="E32" s="39"/>
      <c r="F32" s="39"/>
      <c r="G32" s="39"/>
      <c r="H32" s="39"/>
      <c r="I32" s="39"/>
    </row>
    <row r="33" spans="4:9" x14ac:dyDescent="0.2">
      <c r="D33" s="18"/>
      <c r="E33" s="39"/>
      <c r="F33" s="39"/>
      <c r="G33" s="39"/>
      <c r="H33" s="39"/>
      <c r="I33" s="39"/>
    </row>
    <row r="34" spans="4:9" x14ac:dyDescent="0.2">
      <c r="D34" s="18"/>
      <c r="E34" s="39"/>
      <c r="F34" s="39"/>
      <c r="G34" s="39"/>
      <c r="H34" s="39"/>
      <c r="I34" s="39"/>
    </row>
    <row r="35" spans="4:9" x14ac:dyDescent="0.2">
      <c r="D35" s="18"/>
      <c r="E35" s="39"/>
      <c r="F35" s="39"/>
      <c r="G35" s="39"/>
      <c r="H35" s="39"/>
      <c r="I35" s="39"/>
    </row>
    <row r="36" spans="4:9" x14ac:dyDescent="0.2">
      <c r="D36" s="18"/>
      <c r="E36" s="39"/>
      <c r="F36" s="39"/>
      <c r="G36" s="39"/>
      <c r="H36" s="39"/>
      <c r="I36" s="39"/>
    </row>
    <row r="37" spans="4:9" x14ac:dyDescent="0.2">
      <c r="D37" s="19"/>
      <c r="E37" s="40"/>
      <c r="F37" s="40"/>
      <c r="G37" s="40"/>
      <c r="H37" s="40"/>
      <c r="I37" s="40"/>
    </row>
    <row r="38" spans="4:9" x14ac:dyDescent="0.2">
      <c r="D38" s="87"/>
      <c r="E38" s="64"/>
      <c r="F38" s="64"/>
      <c r="G38" s="64"/>
      <c r="H38" s="64"/>
      <c r="I38" s="64"/>
    </row>
    <row r="39" spans="4:9" x14ac:dyDescent="0.2">
      <c r="D39" s="18"/>
      <c r="E39" s="39"/>
      <c r="F39" s="39"/>
      <c r="G39" s="39"/>
      <c r="H39" s="39"/>
      <c r="I39" s="39"/>
    </row>
    <row r="40" spans="4:9" x14ac:dyDescent="0.2">
      <c r="D40" s="18"/>
      <c r="E40" s="39"/>
      <c r="F40" s="39"/>
      <c r="G40" s="39"/>
      <c r="H40" s="39"/>
      <c r="I40" s="39"/>
    </row>
    <row r="41" spans="4:9" x14ac:dyDescent="0.2">
      <c r="D41" s="18"/>
      <c r="E41" s="39"/>
      <c r="F41" s="39"/>
      <c r="G41" s="39"/>
      <c r="H41" s="39"/>
      <c r="I41" s="39"/>
    </row>
    <row r="42" spans="4:9" x14ac:dyDescent="0.2">
      <c r="D42" s="18"/>
      <c r="E42" s="39"/>
      <c r="F42" s="39"/>
      <c r="G42" s="39"/>
      <c r="H42" s="39"/>
      <c r="I42" s="39"/>
    </row>
    <row r="43" spans="4:9" x14ac:dyDescent="0.2">
      <c r="D43" s="18"/>
      <c r="E43" s="39"/>
      <c r="F43" s="39"/>
      <c r="G43" s="39"/>
      <c r="H43" s="39"/>
      <c r="I43" s="39"/>
    </row>
    <row r="44" spans="4:9" x14ac:dyDescent="0.2">
      <c r="D44" s="18"/>
      <c r="E44" s="39"/>
      <c r="F44" s="39"/>
      <c r="G44" s="39"/>
      <c r="H44" s="39"/>
      <c r="I44" s="39"/>
    </row>
    <row r="45" spans="4:9" x14ac:dyDescent="0.2">
      <c r="D45" s="18"/>
      <c r="E45" s="39"/>
      <c r="F45" s="39"/>
      <c r="G45" s="39"/>
      <c r="H45" s="39"/>
      <c r="I45" s="39"/>
    </row>
    <row r="46" spans="4:9" x14ac:dyDescent="0.2">
      <c r="D46" s="18"/>
      <c r="E46" s="39"/>
      <c r="F46" s="39"/>
      <c r="G46" s="39"/>
      <c r="H46" s="39"/>
      <c r="I46" s="39"/>
    </row>
    <row r="47" spans="4:9" x14ac:dyDescent="0.2">
      <c r="D47" s="19"/>
      <c r="E47" s="40"/>
      <c r="F47" s="40"/>
      <c r="G47" s="40"/>
      <c r="H47" s="40"/>
      <c r="I47" s="40"/>
    </row>
    <row r="48" spans="4:9" x14ac:dyDescent="0.2">
      <c r="D48" s="87"/>
      <c r="E48" s="64"/>
      <c r="F48" s="64"/>
      <c r="G48" s="64"/>
      <c r="H48" s="64"/>
      <c r="I48" s="64"/>
    </row>
    <row r="49" spans="4:9" x14ac:dyDescent="0.2">
      <c r="D49" s="18"/>
      <c r="E49" s="39"/>
      <c r="F49" s="39"/>
      <c r="G49" s="39"/>
      <c r="H49" s="39"/>
      <c r="I49" s="39"/>
    </row>
    <row r="50" spans="4:9" x14ac:dyDescent="0.2">
      <c r="D50" s="18"/>
      <c r="E50" s="39"/>
      <c r="F50" s="39"/>
      <c r="G50" s="39"/>
      <c r="H50" s="39"/>
      <c r="I50" s="39"/>
    </row>
    <row r="51" spans="4:9" x14ac:dyDescent="0.2">
      <c r="D51" s="18"/>
      <c r="E51" s="39"/>
      <c r="F51" s="39"/>
      <c r="G51" s="39"/>
      <c r="H51" s="39"/>
      <c r="I51" s="39"/>
    </row>
    <row r="52" spans="4:9" x14ac:dyDescent="0.2">
      <c r="D52" s="18"/>
      <c r="E52" s="39"/>
      <c r="F52" s="39"/>
      <c r="G52" s="39"/>
      <c r="H52" s="39"/>
      <c r="I52" s="39"/>
    </row>
    <row r="53" spans="4:9" x14ac:dyDescent="0.2">
      <c r="D53" s="18"/>
      <c r="E53" s="39"/>
      <c r="F53" s="39"/>
      <c r="G53" s="39"/>
      <c r="H53" s="39"/>
      <c r="I53" s="39"/>
    </row>
    <row r="54" spans="4:9" x14ac:dyDescent="0.2">
      <c r="D54" s="18"/>
      <c r="E54" s="39"/>
      <c r="F54" s="39"/>
      <c r="G54" s="39"/>
      <c r="H54" s="39"/>
      <c r="I54" s="39"/>
    </row>
    <row r="55" spans="4:9" x14ac:dyDescent="0.2">
      <c r="D55" s="18"/>
      <c r="E55" s="39"/>
      <c r="F55" s="39"/>
      <c r="G55" s="39"/>
      <c r="H55" s="39"/>
      <c r="I55" s="39"/>
    </row>
    <row r="56" spans="4:9" x14ac:dyDescent="0.2">
      <c r="D56" s="18"/>
      <c r="E56" s="39"/>
      <c r="F56" s="39"/>
      <c r="G56" s="39"/>
      <c r="H56" s="39"/>
      <c r="I56" s="39"/>
    </row>
    <row r="57" spans="4:9" x14ac:dyDescent="0.2">
      <c r="D57" s="19"/>
      <c r="E57" s="40"/>
      <c r="F57" s="40"/>
      <c r="G57" s="40"/>
      <c r="H57" s="40"/>
      <c r="I57" s="40"/>
    </row>
    <row r="58" spans="4:9" x14ac:dyDescent="0.2">
      <c r="E58" s="37">
        <f>SUM(E8:E57)</f>
        <v>1417</v>
      </c>
    </row>
  </sheetData>
  <phoneticPr fontId="1"/>
  <dataValidations count="4">
    <dataValidation type="whole" allowBlank="1" showInputMessage="1" showErrorMessage="1" prompt="0: No dense output_x000a_1: Dense output" sqref="B21" xr:uid="{8F621DF0-B70D-4A73-B568-8E0B8C0E1BB1}">
      <formula1>0</formula1>
      <formula2>1</formula2>
    </dataValidation>
    <dataValidation type="whole" allowBlank="1" showInputMessage="1" showErrorMessage="1" prompt="0: Callback version_x000a_1: Reverse communication version" sqref="B20" xr:uid="{FA3E565E-8030-4753-9694-F2FD9E34B2A9}">
      <formula1>0</formula1>
      <formula2>1</formula2>
    </dataValidation>
    <dataValidation type="whole" allowBlank="1" showInputMessage="1" showErrorMessage="1" prompt="0: Derkf" sqref="B19" xr:uid="{2F06E0AA-B6C4-44FB-8A6B-77317DD88ACF}">
      <formula1>0</formula1>
      <formula2>0</formula2>
    </dataValidation>
    <dataValidation type="whole" allowBlank="1" showInputMessage="1" showErrorMessage="1" sqref="B6" xr:uid="{9A1CAED0-C0B3-4257-9B32-AFC9987F7024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ODE_Clear">
                <anchor moveWithCells="1" sizeWithCells="1">
                  <from>
                    <xdr:col>3</xdr:col>
                    <xdr:colOff>12700</xdr:colOff>
                    <xdr:row>1</xdr:row>
                    <xdr:rowOff>165100</xdr:rowOff>
                  </from>
                  <to>
                    <xdr:col>3</xdr:col>
                    <xdr:colOff>1174750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ODE2_Start">
                <anchor moveWithCells="1" sizeWithCells="1">
                  <from>
                    <xdr:col>1</xdr:col>
                    <xdr:colOff>31750</xdr:colOff>
                    <xdr:row>1</xdr:row>
                    <xdr:rowOff>165100</xdr:rowOff>
                  </from>
                  <to>
                    <xdr:col>1</xdr:col>
                    <xdr:colOff>1181100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F70"/>
  <sheetViews>
    <sheetView workbookViewId="0"/>
  </sheetViews>
  <sheetFormatPr defaultColWidth="8.90625" defaultRowHeight="13" x14ac:dyDescent="0.2"/>
  <cols>
    <col min="1" max="1" width="20.08984375" customWidth="1"/>
    <col min="2" max="3" width="12.6328125" customWidth="1"/>
    <col min="4" max="4" width="6.90625" customWidth="1"/>
    <col min="5" max="6" width="12.6328125" customWidth="1"/>
  </cols>
  <sheetData>
    <row r="1" spans="1:6" x14ac:dyDescent="0.2">
      <c r="A1" s="14" t="s">
        <v>87</v>
      </c>
    </row>
    <row r="2" spans="1:6" x14ac:dyDescent="0.2">
      <c r="A2" s="14"/>
    </row>
    <row r="3" spans="1:6" x14ac:dyDescent="0.2">
      <c r="A3" s="16"/>
    </row>
    <row r="5" spans="1:6" x14ac:dyDescent="0.2">
      <c r="A5" t="s">
        <v>88</v>
      </c>
    </row>
    <row r="6" spans="1:6" x14ac:dyDescent="0.2">
      <c r="A6" s="1" t="s">
        <v>89</v>
      </c>
      <c r="B6" s="15">
        <v>50</v>
      </c>
    </row>
    <row r="7" spans="1:6" x14ac:dyDescent="0.2">
      <c r="A7" s="1" t="s">
        <v>90</v>
      </c>
      <c r="B7" s="15">
        <v>2.0000000000000001E-4</v>
      </c>
      <c r="D7" t="s">
        <v>91</v>
      </c>
    </row>
    <row r="8" spans="1:6" x14ac:dyDescent="0.2">
      <c r="C8" s="61"/>
    </row>
    <row r="9" spans="1:6" x14ac:dyDescent="0.2">
      <c r="A9" t="s">
        <v>94</v>
      </c>
      <c r="E9" t="s">
        <v>92</v>
      </c>
    </row>
    <row r="10" spans="1:6" x14ac:dyDescent="0.2">
      <c r="A10" s="45" t="s">
        <v>78</v>
      </c>
      <c r="B10" s="45" t="s">
        <v>79</v>
      </c>
      <c r="C10" s="45" t="s">
        <v>80</v>
      </c>
      <c r="E10" s="45" t="s">
        <v>93</v>
      </c>
      <c r="F10" s="45"/>
    </row>
    <row r="11" spans="1:6" x14ac:dyDescent="0.2">
      <c r="A11" s="38">
        <v>0</v>
      </c>
      <c r="B11" s="38">
        <f>B$7*A11</f>
        <v>0</v>
      </c>
      <c r="C11" s="17">
        <f>SIN(2*PI()*1400*B11)+SIN(2*PI()*400*B11)</f>
        <v>0</v>
      </c>
      <c r="E11" s="38">
        <f>A11/B$6/B$7</f>
        <v>0</v>
      </c>
      <c r="F11" s="38">
        <v>1.1289585629844206E-29</v>
      </c>
    </row>
    <row r="12" spans="1:6" x14ac:dyDescent="0.2">
      <c r="A12" s="39">
        <v>1</v>
      </c>
      <c r="B12" s="39">
        <f t="shared" ref="B12:B70" si="0">B$7*A12</f>
        <v>2.0000000000000001E-4</v>
      </c>
      <c r="C12" s="18">
        <f t="shared" ref="C12:C70" si="1">SIN(2*PI()*1400*B12)+SIN(2*PI()*400*B12)</f>
        <v>1.464040924830404</v>
      </c>
      <c r="E12" s="39">
        <f t="shared" ref="E12:E41" si="2">A12/B$6/B$7</f>
        <v>100</v>
      </c>
      <c r="F12" s="39">
        <v>2.4069777735624033E-29</v>
      </c>
    </row>
    <row r="13" spans="1:6" x14ac:dyDescent="0.2">
      <c r="A13" s="39">
        <v>2</v>
      </c>
      <c r="B13" s="39">
        <f t="shared" si="0"/>
        <v>4.0000000000000002E-4</v>
      </c>
      <c r="C13" s="18">
        <f t="shared" si="1"/>
        <v>0.47620337281733716</v>
      </c>
      <c r="E13" s="39">
        <f t="shared" si="2"/>
        <v>200</v>
      </c>
      <c r="F13" s="39">
        <v>1.395851207787044E-29</v>
      </c>
    </row>
    <row r="14" spans="1:6" x14ac:dyDescent="0.2">
      <c r="A14" s="39">
        <v>3</v>
      </c>
      <c r="B14" s="39">
        <f t="shared" si="0"/>
        <v>6.0000000000000006E-4</v>
      </c>
      <c r="C14" s="18">
        <f t="shared" si="1"/>
        <v>0.15369880292625659</v>
      </c>
      <c r="E14" s="39">
        <f t="shared" si="2"/>
        <v>300</v>
      </c>
      <c r="F14" s="39">
        <v>2.9578888739949872E-29</v>
      </c>
    </row>
    <row r="15" spans="1:6" x14ac:dyDescent="0.2">
      <c r="A15" s="39">
        <v>4</v>
      </c>
      <c r="B15" s="39">
        <f t="shared" si="0"/>
        <v>8.0000000000000004E-4</v>
      </c>
      <c r="C15" s="18">
        <f t="shared" si="1"/>
        <v>1.5893741583947081</v>
      </c>
      <c r="E15" s="39">
        <f t="shared" si="2"/>
        <v>400</v>
      </c>
      <c r="F15" s="39">
        <v>24.999999999999989</v>
      </c>
    </row>
    <row r="16" spans="1:6" x14ac:dyDescent="0.2">
      <c r="A16" s="39">
        <v>5</v>
      </c>
      <c r="B16" s="39">
        <f t="shared" si="0"/>
        <v>1E-3</v>
      </c>
      <c r="C16" s="18">
        <f t="shared" si="1"/>
        <v>1.1755705045849467</v>
      </c>
      <c r="E16" s="39">
        <f t="shared" si="2"/>
        <v>500</v>
      </c>
      <c r="F16" s="39">
        <v>4.8340212124932313E-30</v>
      </c>
    </row>
    <row r="17" spans="1:6" x14ac:dyDescent="0.2">
      <c r="A17" s="39">
        <v>6</v>
      </c>
      <c r="B17" s="39">
        <f t="shared" si="0"/>
        <v>1.2000000000000001E-3</v>
      </c>
      <c r="C17" s="18">
        <f t="shared" si="1"/>
        <v>-0.77949381890171554</v>
      </c>
      <c r="E17" s="39">
        <f t="shared" si="2"/>
        <v>600</v>
      </c>
      <c r="F17" s="39">
        <v>2.1798154547095577E-30</v>
      </c>
    </row>
    <row r="18" spans="1:6" x14ac:dyDescent="0.2">
      <c r="A18" s="39">
        <v>7</v>
      </c>
      <c r="B18" s="39">
        <f t="shared" si="0"/>
        <v>1.4E-3</v>
      </c>
      <c r="C18" s="18">
        <f t="shared" si="1"/>
        <v>-0.61681443984953355</v>
      </c>
      <c r="E18" s="39">
        <f t="shared" si="2"/>
        <v>700</v>
      </c>
      <c r="F18" s="39">
        <v>1.0610189348318851E-30</v>
      </c>
    </row>
    <row r="19" spans="1:6" x14ac:dyDescent="0.2">
      <c r="A19" s="39">
        <v>8</v>
      </c>
      <c r="B19" s="39">
        <f t="shared" si="0"/>
        <v>1.6000000000000001E-3</v>
      </c>
      <c r="C19" s="18">
        <f t="shared" si="1"/>
        <v>0.22751348565248219</v>
      </c>
      <c r="E19" s="39">
        <f t="shared" si="2"/>
        <v>800</v>
      </c>
      <c r="F19" s="39">
        <v>1.1149575245563932E-30</v>
      </c>
    </row>
    <row r="20" spans="1:6" x14ac:dyDescent="0.2">
      <c r="A20" s="40">
        <v>9</v>
      </c>
      <c r="B20" s="40">
        <f t="shared" si="0"/>
        <v>1.8000000000000002E-3</v>
      </c>
      <c r="C20" s="19">
        <f t="shared" si="1"/>
        <v>-1.1076204842929918</v>
      </c>
      <c r="E20" s="40">
        <f t="shared" si="2"/>
        <v>899.99999999999989</v>
      </c>
      <c r="F20" s="40">
        <v>7.4014448422408469E-30</v>
      </c>
    </row>
    <row r="21" spans="1:6" x14ac:dyDescent="0.2">
      <c r="A21" s="38">
        <v>10</v>
      </c>
      <c r="B21" s="38">
        <f t="shared" si="0"/>
        <v>2E-3</v>
      </c>
      <c r="C21" s="17">
        <f t="shared" si="1"/>
        <v>-1.9021130325903073</v>
      </c>
      <c r="E21" s="64">
        <f t="shared" si="2"/>
        <v>1000</v>
      </c>
      <c r="F21" s="64">
        <v>5.348190650119678E-30</v>
      </c>
    </row>
    <row r="22" spans="1:6" x14ac:dyDescent="0.2">
      <c r="A22" s="39">
        <v>11</v>
      </c>
      <c r="B22" s="39">
        <f t="shared" si="0"/>
        <v>2.2000000000000001E-3</v>
      </c>
      <c r="C22" s="18">
        <f t="shared" si="1"/>
        <v>-0.20279343182697307</v>
      </c>
      <c r="E22" s="39">
        <f t="shared" si="2"/>
        <v>1100</v>
      </c>
      <c r="F22" s="39">
        <v>1.8481696824316011E-29</v>
      </c>
    </row>
    <row r="23" spans="1:6" x14ac:dyDescent="0.2">
      <c r="A23" s="39">
        <v>12</v>
      </c>
      <c r="B23" s="39">
        <f t="shared" si="0"/>
        <v>2.4000000000000002E-3</v>
      </c>
      <c r="C23" s="18">
        <f t="shared" si="1"/>
        <v>0.52182335561093429</v>
      </c>
      <c r="E23" s="39">
        <f t="shared" si="2"/>
        <v>1200</v>
      </c>
      <c r="F23" s="39">
        <v>1.0142264955918565E-29</v>
      </c>
    </row>
    <row r="24" spans="1:6" x14ac:dyDescent="0.2">
      <c r="A24" s="39">
        <v>13</v>
      </c>
      <c r="B24" s="39">
        <f t="shared" si="0"/>
        <v>2.6000000000000003E-3</v>
      </c>
      <c r="C24" s="18">
        <f t="shared" si="1"/>
        <v>-0.52182335561093429</v>
      </c>
      <c r="E24" s="39">
        <f t="shared" si="2"/>
        <v>1300</v>
      </c>
      <c r="F24" s="39">
        <v>1.3140424707672369E-29</v>
      </c>
    </row>
    <row r="25" spans="1:6" x14ac:dyDescent="0.2">
      <c r="A25" s="39">
        <v>14</v>
      </c>
      <c r="B25" s="39">
        <f t="shared" si="0"/>
        <v>2.8E-3</v>
      </c>
      <c r="C25" s="18">
        <f t="shared" si="1"/>
        <v>0.20279343182697185</v>
      </c>
      <c r="E25" s="39">
        <f t="shared" si="2"/>
        <v>1400</v>
      </c>
      <c r="F25" s="39">
        <v>25.000000000000011</v>
      </c>
    </row>
    <row r="26" spans="1:6" x14ac:dyDescent="0.2">
      <c r="A26" s="39">
        <v>15</v>
      </c>
      <c r="B26" s="39">
        <f t="shared" si="0"/>
        <v>3.0000000000000001E-3</v>
      </c>
      <c r="C26" s="18">
        <f t="shared" si="1"/>
        <v>1.9021130325903071</v>
      </c>
      <c r="E26" s="39">
        <f t="shared" si="2"/>
        <v>1499.9999999999998</v>
      </c>
      <c r="F26" s="39">
        <v>8.6022521556836535E-30</v>
      </c>
    </row>
    <row r="27" spans="1:6" x14ac:dyDescent="0.2">
      <c r="A27" s="39">
        <v>16</v>
      </c>
      <c r="B27" s="39">
        <f t="shared" si="0"/>
        <v>3.2000000000000002E-3</v>
      </c>
      <c r="C27" s="18">
        <f t="shared" si="1"/>
        <v>1.1076204842929933</v>
      </c>
      <c r="E27" s="39">
        <f t="shared" si="2"/>
        <v>1600</v>
      </c>
      <c r="F27" s="39">
        <v>1.0806117734078303E-29</v>
      </c>
    </row>
    <row r="28" spans="1:6" x14ac:dyDescent="0.2">
      <c r="A28" s="39">
        <v>17</v>
      </c>
      <c r="B28" s="39">
        <f t="shared" si="0"/>
        <v>3.4000000000000002E-3</v>
      </c>
      <c r="C28" s="18">
        <f t="shared" si="1"/>
        <v>-0.22751348565248319</v>
      </c>
      <c r="E28" s="39">
        <f t="shared" si="2"/>
        <v>1700</v>
      </c>
      <c r="F28" s="39">
        <v>1.187195000364168E-29</v>
      </c>
    </row>
    <row r="29" spans="1:6" x14ac:dyDescent="0.2">
      <c r="A29" s="39">
        <v>18</v>
      </c>
      <c r="B29" s="39">
        <f t="shared" si="0"/>
        <v>3.6000000000000003E-3</v>
      </c>
      <c r="C29" s="18">
        <f t="shared" si="1"/>
        <v>0.61681443984952855</v>
      </c>
      <c r="E29" s="39">
        <f t="shared" si="2"/>
        <v>1799.9999999999998</v>
      </c>
      <c r="F29" s="39">
        <v>2.3092003650320898E-30</v>
      </c>
    </row>
    <row r="30" spans="1:6" x14ac:dyDescent="0.2">
      <c r="A30" s="40">
        <v>19</v>
      </c>
      <c r="B30" s="40">
        <f t="shared" si="0"/>
        <v>3.8E-3</v>
      </c>
      <c r="C30" s="19">
        <f t="shared" si="1"/>
        <v>0.77949381890171698</v>
      </c>
      <c r="E30" s="40">
        <f t="shared" si="2"/>
        <v>1900</v>
      </c>
      <c r="F30" s="40">
        <v>1.5715710023390673E-30</v>
      </c>
    </row>
    <row r="31" spans="1:6" x14ac:dyDescent="0.2">
      <c r="A31" s="38">
        <v>20</v>
      </c>
      <c r="B31" s="38">
        <f t="shared" si="0"/>
        <v>4.0000000000000001E-3</v>
      </c>
      <c r="C31" s="17">
        <f t="shared" si="1"/>
        <v>-1.1755705045849449</v>
      </c>
      <c r="E31" s="64">
        <f t="shared" si="2"/>
        <v>2000</v>
      </c>
      <c r="F31" s="64">
        <v>2.6449424720322257E-30</v>
      </c>
    </row>
    <row r="32" spans="1:6" x14ac:dyDescent="0.2">
      <c r="A32" s="39">
        <v>21</v>
      </c>
      <c r="B32" s="39">
        <f t="shared" si="0"/>
        <v>4.2000000000000006E-3</v>
      </c>
      <c r="C32" s="18">
        <f t="shared" si="1"/>
        <v>-1.589374158394707</v>
      </c>
      <c r="E32" s="39">
        <f t="shared" si="2"/>
        <v>2100</v>
      </c>
      <c r="F32" s="39">
        <v>1.3431491715911609E-30</v>
      </c>
    </row>
    <row r="33" spans="1:6" x14ac:dyDescent="0.2">
      <c r="A33" s="39">
        <v>22</v>
      </c>
      <c r="B33" s="39">
        <f t="shared" si="0"/>
        <v>4.4000000000000003E-3</v>
      </c>
      <c r="C33" s="18">
        <f t="shared" si="1"/>
        <v>-0.15369880292625637</v>
      </c>
      <c r="E33" s="39">
        <f t="shared" si="2"/>
        <v>2200</v>
      </c>
      <c r="F33" s="39">
        <v>2.6154766162601288E-30</v>
      </c>
    </row>
    <row r="34" spans="1:6" x14ac:dyDescent="0.2">
      <c r="A34" s="39">
        <v>23</v>
      </c>
      <c r="B34" s="39">
        <f t="shared" si="0"/>
        <v>4.5999999999999999E-3</v>
      </c>
      <c r="C34" s="18">
        <f t="shared" si="1"/>
        <v>-0.47620337281733432</v>
      </c>
      <c r="E34" s="39">
        <f t="shared" si="2"/>
        <v>2300</v>
      </c>
      <c r="F34" s="39">
        <v>1.2479292200449941E-29</v>
      </c>
    </row>
    <row r="35" spans="1:6" x14ac:dyDescent="0.2">
      <c r="A35" s="39">
        <v>24</v>
      </c>
      <c r="B35" s="39">
        <f t="shared" si="0"/>
        <v>4.8000000000000004E-3</v>
      </c>
      <c r="C35" s="18">
        <f t="shared" si="1"/>
        <v>-1.4640409248304036</v>
      </c>
      <c r="E35" s="39">
        <f t="shared" si="2"/>
        <v>2400</v>
      </c>
      <c r="F35" s="39">
        <v>3.3864597849923435E-29</v>
      </c>
    </row>
    <row r="36" spans="1:6" x14ac:dyDescent="0.2">
      <c r="A36" s="39">
        <v>25</v>
      </c>
      <c r="B36" s="39">
        <f t="shared" si="0"/>
        <v>5.0000000000000001E-3</v>
      </c>
      <c r="C36" s="18">
        <f t="shared" si="1"/>
        <v>-2.205267218835516E-15</v>
      </c>
      <c r="E36" s="39">
        <f t="shared" si="2"/>
        <v>2500</v>
      </c>
      <c r="F36" s="39">
        <v>4.1023232261821436E-30</v>
      </c>
    </row>
    <row r="37" spans="1:6" x14ac:dyDescent="0.2">
      <c r="A37" s="39">
        <v>26</v>
      </c>
      <c r="B37" s="39">
        <f t="shared" si="0"/>
        <v>5.2000000000000006E-3</v>
      </c>
      <c r="C37" s="18">
        <f t="shared" si="1"/>
        <v>1.4640409248304052</v>
      </c>
      <c r="E37" s="39">
        <f t="shared" si="2"/>
        <v>2600</v>
      </c>
      <c r="F37" s="39"/>
    </row>
    <row r="38" spans="1:6" x14ac:dyDescent="0.2">
      <c r="A38" s="39">
        <v>27</v>
      </c>
      <c r="B38" s="39">
        <f t="shared" si="0"/>
        <v>5.4000000000000003E-3</v>
      </c>
      <c r="C38" s="18">
        <f t="shared" si="1"/>
        <v>0.47620337281733799</v>
      </c>
      <c r="E38" s="39">
        <f t="shared" si="2"/>
        <v>2700</v>
      </c>
      <c r="F38" s="39"/>
    </row>
    <row r="39" spans="1:6" x14ac:dyDescent="0.2">
      <c r="A39" s="39">
        <v>28</v>
      </c>
      <c r="B39" s="39">
        <f t="shared" si="0"/>
        <v>5.5999999999999999E-3</v>
      </c>
      <c r="C39" s="18">
        <f t="shared" si="1"/>
        <v>0.15369880292625471</v>
      </c>
      <c r="E39" s="39">
        <f t="shared" si="2"/>
        <v>2800</v>
      </c>
      <c r="F39" s="39"/>
    </row>
    <row r="40" spans="1:6" x14ac:dyDescent="0.2">
      <c r="A40" s="40">
        <v>29</v>
      </c>
      <c r="B40" s="40">
        <f t="shared" si="0"/>
        <v>5.8000000000000005E-3</v>
      </c>
      <c r="C40" s="19">
        <f t="shared" si="1"/>
        <v>1.5893741583947087</v>
      </c>
      <c r="E40" s="40">
        <f t="shared" si="2"/>
        <v>2899.9999999999995</v>
      </c>
      <c r="F40" s="40"/>
    </row>
    <row r="41" spans="1:6" x14ac:dyDescent="0.2">
      <c r="A41" s="38">
        <v>30</v>
      </c>
      <c r="B41" s="38">
        <f t="shared" si="0"/>
        <v>6.0000000000000001E-3</v>
      </c>
      <c r="C41" s="17">
        <f t="shared" si="1"/>
        <v>1.1755705045849469</v>
      </c>
      <c r="E41" s="37">
        <f t="shared" si="2"/>
        <v>2999.9999999999995</v>
      </c>
      <c r="F41" s="37"/>
    </row>
    <row r="42" spans="1:6" x14ac:dyDescent="0.2">
      <c r="A42" s="39">
        <v>31</v>
      </c>
      <c r="B42" s="39">
        <f t="shared" si="0"/>
        <v>6.2000000000000006E-3</v>
      </c>
      <c r="C42" s="18">
        <f t="shared" si="1"/>
        <v>-0.77949381890171809</v>
      </c>
    </row>
    <row r="43" spans="1:6" x14ac:dyDescent="0.2">
      <c r="A43" s="39">
        <v>32</v>
      </c>
      <c r="B43" s="39">
        <f t="shared" si="0"/>
        <v>6.4000000000000003E-3</v>
      </c>
      <c r="C43" s="18">
        <f t="shared" si="1"/>
        <v>-0.61681443984953421</v>
      </c>
    </row>
    <row r="44" spans="1:6" x14ac:dyDescent="0.2">
      <c r="A44" s="39">
        <v>33</v>
      </c>
      <c r="B44" s="39">
        <f t="shared" si="0"/>
        <v>6.6E-3</v>
      </c>
      <c r="C44" s="18">
        <f t="shared" si="1"/>
        <v>0.22751348565248075</v>
      </c>
    </row>
    <row r="45" spans="1:6" x14ac:dyDescent="0.2">
      <c r="A45" s="39">
        <v>34</v>
      </c>
      <c r="B45" s="39">
        <f t="shared" si="0"/>
        <v>6.8000000000000005E-3</v>
      </c>
      <c r="C45" s="18">
        <f t="shared" si="1"/>
        <v>-1.1076204842929869</v>
      </c>
    </row>
    <row r="46" spans="1:6" x14ac:dyDescent="0.2">
      <c r="A46" s="39">
        <v>35</v>
      </c>
      <c r="B46" s="39">
        <f t="shared" si="0"/>
        <v>7.0000000000000001E-3</v>
      </c>
      <c r="C46" s="18">
        <f t="shared" si="1"/>
        <v>-1.9021130325903104</v>
      </c>
    </row>
    <row r="47" spans="1:6" x14ac:dyDescent="0.2">
      <c r="A47" s="39">
        <v>36</v>
      </c>
      <c r="B47" s="39">
        <f t="shared" si="0"/>
        <v>7.2000000000000007E-3</v>
      </c>
      <c r="C47" s="18">
        <f t="shared" si="1"/>
        <v>-0.20279343182697546</v>
      </c>
    </row>
    <row r="48" spans="1:6" x14ac:dyDescent="0.2">
      <c r="A48" s="39">
        <v>37</v>
      </c>
      <c r="B48" s="39">
        <f t="shared" si="0"/>
        <v>7.4000000000000003E-3</v>
      </c>
      <c r="C48" s="18">
        <f t="shared" si="1"/>
        <v>0.52182335561093585</v>
      </c>
    </row>
    <row r="49" spans="1:3" x14ac:dyDescent="0.2">
      <c r="A49" s="39">
        <v>38</v>
      </c>
      <c r="B49" s="39">
        <f t="shared" si="0"/>
        <v>7.6E-3</v>
      </c>
      <c r="C49" s="18">
        <f t="shared" si="1"/>
        <v>-0.52182335561092597</v>
      </c>
    </row>
    <row r="50" spans="1:3" x14ac:dyDescent="0.2">
      <c r="A50" s="40">
        <v>39</v>
      </c>
      <c r="B50" s="40">
        <f t="shared" si="0"/>
        <v>7.8000000000000005E-3</v>
      </c>
      <c r="C50" s="19">
        <f t="shared" si="1"/>
        <v>0.2027934318269688</v>
      </c>
    </row>
    <row r="51" spans="1:3" x14ac:dyDescent="0.2">
      <c r="A51" s="38">
        <v>40</v>
      </c>
      <c r="B51" s="38">
        <f t="shared" si="0"/>
        <v>8.0000000000000002E-3</v>
      </c>
      <c r="C51" s="17">
        <f t="shared" si="1"/>
        <v>1.902113032590306</v>
      </c>
    </row>
    <row r="52" spans="1:3" x14ac:dyDescent="0.2">
      <c r="A52" s="39">
        <v>41</v>
      </c>
      <c r="B52" s="39">
        <f t="shared" si="0"/>
        <v>8.2000000000000007E-3</v>
      </c>
      <c r="C52" s="18">
        <f t="shared" si="1"/>
        <v>1.1076204842929909</v>
      </c>
    </row>
    <row r="53" spans="1:3" x14ac:dyDescent="0.2">
      <c r="A53" s="39">
        <v>42</v>
      </c>
      <c r="B53" s="39">
        <f t="shared" si="0"/>
        <v>8.4000000000000012E-3</v>
      </c>
      <c r="C53" s="18">
        <f t="shared" si="1"/>
        <v>-0.22751348565248464</v>
      </c>
    </row>
    <row r="54" spans="1:3" x14ac:dyDescent="0.2">
      <c r="A54" s="39">
        <v>43</v>
      </c>
      <c r="B54" s="39">
        <f t="shared" si="0"/>
        <v>8.6E-3</v>
      </c>
      <c r="C54" s="18">
        <f t="shared" si="1"/>
        <v>0.61681443984952733</v>
      </c>
    </row>
    <row r="55" spans="1:3" x14ac:dyDescent="0.2">
      <c r="A55" s="39">
        <v>44</v>
      </c>
      <c r="B55" s="39">
        <f t="shared" si="0"/>
        <v>8.8000000000000005E-3</v>
      </c>
      <c r="C55" s="18">
        <f t="shared" si="1"/>
        <v>0.77949381890171332</v>
      </c>
    </row>
    <row r="56" spans="1:3" x14ac:dyDescent="0.2">
      <c r="A56" s="39">
        <v>45</v>
      </c>
      <c r="B56" s="39">
        <f t="shared" si="0"/>
        <v>9.0000000000000011E-3</v>
      </c>
      <c r="C56" s="18">
        <f t="shared" si="1"/>
        <v>-1.1755705045849516</v>
      </c>
    </row>
    <row r="57" spans="1:3" x14ac:dyDescent="0.2">
      <c r="A57" s="39">
        <v>46</v>
      </c>
      <c r="B57" s="39">
        <f t="shared" si="0"/>
        <v>9.1999999999999998E-3</v>
      </c>
      <c r="C57" s="18">
        <f t="shared" si="1"/>
        <v>-1.5893741583947125</v>
      </c>
    </row>
    <row r="58" spans="1:3" x14ac:dyDescent="0.2">
      <c r="A58" s="39">
        <v>47</v>
      </c>
      <c r="B58" s="39">
        <f t="shared" si="0"/>
        <v>9.4000000000000004E-3</v>
      </c>
      <c r="C58" s="18">
        <f t="shared" si="1"/>
        <v>-0.15369880292625748</v>
      </c>
    </row>
    <row r="59" spans="1:3" x14ac:dyDescent="0.2">
      <c r="A59" s="39">
        <v>48</v>
      </c>
      <c r="B59" s="39">
        <f t="shared" si="0"/>
        <v>9.6000000000000009E-3</v>
      </c>
      <c r="C59" s="18">
        <f t="shared" si="1"/>
        <v>-0.47620337281733865</v>
      </c>
    </row>
    <row r="60" spans="1:3" x14ac:dyDescent="0.2">
      <c r="A60" s="40">
        <v>49</v>
      </c>
      <c r="B60" s="40">
        <f t="shared" si="0"/>
        <v>9.7999999999999997E-3</v>
      </c>
      <c r="C60" s="19">
        <f t="shared" si="1"/>
        <v>-1.464040924830404</v>
      </c>
    </row>
    <row r="61" spans="1:3" x14ac:dyDescent="0.2">
      <c r="A61" s="38">
        <v>50</v>
      </c>
      <c r="B61" s="38">
        <f t="shared" si="0"/>
        <v>0.01</v>
      </c>
      <c r="C61" s="17">
        <f t="shared" si="1"/>
        <v>-4.410534437671032E-15</v>
      </c>
    </row>
    <row r="62" spans="1:3" x14ac:dyDescent="0.2">
      <c r="A62" s="39">
        <v>51</v>
      </c>
      <c r="B62" s="39">
        <f t="shared" si="0"/>
        <v>1.0200000000000001E-2</v>
      </c>
      <c r="C62" s="18">
        <f t="shared" si="1"/>
        <v>1.4640409248304067</v>
      </c>
    </row>
    <row r="63" spans="1:3" x14ac:dyDescent="0.2">
      <c r="A63" s="39">
        <v>52</v>
      </c>
      <c r="B63" s="39">
        <f t="shared" si="0"/>
        <v>1.0400000000000001E-2</v>
      </c>
      <c r="C63" s="18">
        <f t="shared" si="1"/>
        <v>0.4762033728173346</v>
      </c>
    </row>
    <row r="64" spans="1:3" x14ac:dyDescent="0.2">
      <c r="A64" s="39">
        <v>53</v>
      </c>
      <c r="B64" s="39">
        <f t="shared" si="0"/>
        <v>1.06E-2</v>
      </c>
      <c r="C64" s="18">
        <f t="shared" si="1"/>
        <v>0.15369880292625393</v>
      </c>
    </row>
    <row r="65" spans="1:3" x14ac:dyDescent="0.2">
      <c r="A65" s="39">
        <v>54</v>
      </c>
      <c r="B65" s="39">
        <f t="shared" si="0"/>
        <v>1.0800000000000001E-2</v>
      </c>
      <c r="C65" s="18">
        <f t="shared" si="1"/>
        <v>1.589374158394707</v>
      </c>
    </row>
    <row r="66" spans="1:3" x14ac:dyDescent="0.2">
      <c r="A66" s="39">
        <v>55</v>
      </c>
      <c r="B66" s="39">
        <f t="shared" si="0"/>
        <v>1.1000000000000001E-2</v>
      </c>
      <c r="C66" s="18">
        <f t="shared" si="1"/>
        <v>1.1755705045849416</v>
      </c>
    </row>
    <row r="67" spans="1:3" x14ac:dyDescent="0.2">
      <c r="A67" s="39">
        <v>56</v>
      </c>
      <c r="B67" s="39">
        <f t="shared" si="0"/>
        <v>1.12E-2</v>
      </c>
      <c r="C67" s="18">
        <f t="shared" si="1"/>
        <v>-0.7794938189017121</v>
      </c>
    </row>
    <row r="68" spans="1:3" x14ac:dyDescent="0.2">
      <c r="A68" s="39">
        <v>57</v>
      </c>
      <c r="B68" s="39">
        <f t="shared" si="0"/>
        <v>1.14E-2</v>
      </c>
      <c r="C68" s="18">
        <f t="shared" si="1"/>
        <v>-0.61681443984953543</v>
      </c>
    </row>
    <row r="69" spans="1:3" x14ac:dyDescent="0.2">
      <c r="A69" s="39">
        <v>58</v>
      </c>
      <c r="B69" s="39">
        <f t="shared" si="0"/>
        <v>1.1600000000000001E-2</v>
      </c>
      <c r="C69" s="18">
        <f t="shared" si="1"/>
        <v>0.22751348565248175</v>
      </c>
    </row>
    <row r="70" spans="1:3" x14ac:dyDescent="0.2">
      <c r="A70" s="40">
        <v>59</v>
      </c>
      <c r="B70" s="40">
        <f t="shared" si="0"/>
        <v>1.18E-2</v>
      </c>
      <c r="C70" s="19">
        <f t="shared" si="1"/>
        <v>-1.1076204842929842</v>
      </c>
    </row>
  </sheetData>
  <phoneticPr fontId="1"/>
  <dataValidations count="2">
    <dataValidation allowBlank="1" showErrorMessage="1" promptTitle="途中経過" prompt="0: 出力しない_x000a_1: 出力する" sqref="B7" xr:uid="{00000000-0002-0000-1000-000000000000}"/>
    <dataValidation type="whole" allowBlank="1" showErrorMessage="1" promptTitle="途中経過" prompt="0: 出力しない_x000a_1: 出力する" sqref="B6" xr:uid="{00000000-0002-0000-1000-000001000000}">
      <formula1>1</formula1>
      <formula2>60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lear_PSD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527050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Calc_PSD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N56"/>
  <sheetViews>
    <sheetView workbookViewId="0"/>
  </sheetViews>
  <sheetFormatPr defaultColWidth="8.90625" defaultRowHeight="13" x14ac:dyDescent="0.2"/>
  <cols>
    <col min="1" max="1" width="15.6328125" customWidth="1"/>
    <col min="2" max="2" width="10.6328125" customWidth="1"/>
    <col min="3" max="4" width="4.6328125" customWidth="1"/>
    <col min="5" max="6" width="11.6328125" customWidth="1"/>
    <col min="7" max="7" width="4.6328125" customWidth="1"/>
    <col min="8" max="9" width="5.6328125" customWidth="1"/>
    <col min="10" max="14" width="11.6328125" customWidth="1"/>
  </cols>
  <sheetData>
    <row r="1" spans="1:14" x14ac:dyDescent="0.2">
      <c r="A1" s="14" t="s">
        <v>178</v>
      </c>
    </row>
    <row r="2" spans="1:14" x14ac:dyDescent="0.2">
      <c r="A2" s="14"/>
    </row>
    <row r="3" spans="1:14" x14ac:dyDescent="0.2">
      <c r="A3" s="16"/>
      <c r="J3" s="73"/>
    </row>
    <row r="5" spans="1:14" x14ac:dyDescent="0.2">
      <c r="A5" t="s">
        <v>170</v>
      </c>
      <c r="D5" t="s">
        <v>105</v>
      </c>
      <c r="H5" t="s">
        <v>220</v>
      </c>
    </row>
    <row r="6" spans="1:14" x14ac:dyDescent="0.2">
      <c r="A6" s="1" t="s">
        <v>2</v>
      </c>
      <c r="B6" s="58">
        <v>1E-10</v>
      </c>
      <c r="D6" s="45"/>
      <c r="E6" s="45" t="s">
        <v>19</v>
      </c>
      <c r="F6" s="45" t="s">
        <v>20</v>
      </c>
      <c r="H6" s="45" t="s">
        <v>21</v>
      </c>
      <c r="I6" s="45" t="s">
        <v>22</v>
      </c>
      <c r="J6" s="45" t="s">
        <v>179</v>
      </c>
      <c r="K6" s="45" t="s">
        <v>23</v>
      </c>
      <c r="L6" s="45" t="s">
        <v>24</v>
      </c>
      <c r="M6" s="45" t="s">
        <v>25</v>
      </c>
      <c r="N6" s="45" t="s">
        <v>26</v>
      </c>
    </row>
    <row r="7" spans="1:14" x14ac:dyDescent="0.2">
      <c r="A7" s="1" t="s">
        <v>171</v>
      </c>
      <c r="B7" s="15">
        <v>1</v>
      </c>
      <c r="C7" s="61"/>
      <c r="D7" s="38">
        <v>1</v>
      </c>
      <c r="E7" s="17">
        <v>77.599999999999994</v>
      </c>
      <c r="F7" s="17">
        <v>10.07</v>
      </c>
      <c r="G7" s="61"/>
      <c r="H7" s="38" t="s">
        <v>180</v>
      </c>
      <c r="I7" s="38"/>
      <c r="J7" s="38"/>
      <c r="K7" s="17">
        <v>500</v>
      </c>
      <c r="L7" s="17">
        <v>1E-4</v>
      </c>
      <c r="M7" s="17"/>
      <c r="N7" s="17"/>
    </row>
    <row r="8" spans="1:14" x14ac:dyDescent="0.2">
      <c r="A8" s="1" t="s">
        <v>172</v>
      </c>
      <c r="B8" s="37">
        <v>0</v>
      </c>
      <c r="D8" s="39">
        <v>2</v>
      </c>
      <c r="E8" s="18">
        <v>114.9</v>
      </c>
      <c r="F8" s="18">
        <v>14.73</v>
      </c>
      <c r="H8" s="39">
        <v>1</v>
      </c>
      <c r="I8" s="39">
        <v>0</v>
      </c>
      <c r="J8" s="39">
        <v>10780.190163909723</v>
      </c>
      <c r="K8" s="39">
        <v>500</v>
      </c>
      <c r="L8" s="39">
        <v>1E-4</v>
      </c>
      <c r="M8" s="39"/>
      <c r="N8" s="39"/>
    </row>
    <row r="9" spans="1:14" x14ac:dyDescent="0.2">
      <c r="D9" s="39">
        <v>3</v>
      </c>
      <c r="E9" s="18">
        <v>141.1</v>
      </c>
      <c r="F9" s="18">
        <v>17.940000000000001</v>
      </c>
      <c r="H9" s="39">
        <v>4</v>
      </c>
      <c r="I9" s="39">
        <v>0</v>
      </c>
      <c r="J9" s="39">
        <v>27301396.88719061</v>
      </c>
      <c r="K9" s="39">
        <v>-3767.1008020270865</v>
      </c>
      <c r="L9" s="39">
        <v>1.1144269453179183E-3</v>
      </c>
      <c r="M9" s="39"/>
      <c r="N9" s="39"/>
    </row>
    <row r="10" spans="1:14" x14ac:dyDescent="0.2">
      <c r="A10" t="s">
        <v>183</v>
      </c>
      <c r="D10" s="39">
        <v>4</v>
      </c>
      <c r="E10" s="18">
        <v>190.8</v>
      </c>
      <c r="F10" s="18">
        <v>23.93</v>
      </c>
      <c r="H10" s="39">
        <v>5</v>
      </c>
      <c r="I10" s="39">
        <v>0</v>
      </c>
      <c r="J10" s="39">
        <v>53.058725997426578</v>
      </c>
      <c r="K10" s="39">
        <v>491.43227050977441</v>
      </c>
      <c r="L10" s="39">
        <v>2.3828125274213323E-4</v>
      </c>
      <c r="M10" s="39"/>
      <c r="N10" s="39"/>
    </row>
    <row r="11" spans="1:14" x14ac:dyDescent="0.2">
      <c r="A11" s="65" t="s">
        <v>181</v>
      </c>
      <c r="B11" s="66">
        <v>14</v>
      </c>
      <c r="D11" s="39">
        <v>5</v>
      </c>
      <c r="E11" s="18">
        <v>239.9</v>
      </c>
      <c r="F11" s="18">
        <v>29.61</v>
      </c>
      <c r="H11" s="39">
        <v>8</v>
      </c>
      <c r="I11" s="39">
        <v>0</v>
      </c>
      <c r="J11" s="39">
        <v>13145.309491452042</v>
      </c>
      <c r="K11" s="39">
        <v>105.82571706077294</v>
      </c>
      <c r="L11" s="39">
        <v>4.4661085899330298E-4</v>
      </c>
      <c r="M11" s="39"/>
      <c r="N11" s="39"/>
    </row>
    <row r="12" spans="1:14" x14ac:dyDescent="0.2">
      <c r="A12" s="65" t="s">
        <v>182</v>
      </c>
      <c r="B12" s="66">
        <v>2</v>
      </c>
      <c r="D12" s="39">
        <v>6</v>
      </c>
      <c r="E12" s="18">
        <v>289</v>
      </c>
      <c r="F12" s="18">
        <v>35.18</v>
      </c>
      <c r="H12" s="39">
        <v>9</v>
      </c>
      <c r="I12" s="39">
        <v>0</v>
      </c>
      <c r="J12" s="39">
        <v>18.260613579963596</v>
      </c>
      <c r="K12" s="39">
        <v>460.82042121414952</v>
      </c>
      <c r="L12" s="39">
        <v>2.625233586064796E-4</v>
      </c>
      <c r="M12" s="39"/>
      <c r="N12" s="39"/>
    </row>
    <row r="13" spans="1:14" x14ac:dyDescent="0.2">
      <c r="A13" s="1" t="s">
        <v>27</v>
      </c>
      <c r="B13" s="37">
        <v>760</v>
      </c>
      <c r="D13" s="39">
        <v>7</v>
      </c>
      <c r="E13" s="18">
        <v>332.8</v>
      </c>
      <c r="F13" s="18">
        <v>40.020000000000003</v>
      </c>
      <c r="H13" s="39">
        <v>12</v>
      </c>
      <c r="I13" s="39">
        <v>0</v>
      </c>
      <c r="J13" s="39">
        <v>31.954852332609423</v>
      </c>
      <c r="K13" s="39">
        <v>392.18768690358445</v>
      </c>
      <c r="L13" s="39">
        <v>3.0644408944014562E-4</v>
      </c>
      <c r="M13" s="39"/>
      <c r="N13" s="39"/>
    </row>
    <row r="14" spans="1:14" x14ac:dyDescent="0.2">
      <c r="A14" s="74" t="s">
        <v>28</v>
      </c>
      <c r="B14" s="38">
        <v>238.9421285673391</v>
      </c>
      <c r="D14" s="39">
        <v>8</v>
      </c>
      <c r="E14" s="18">
        <v>378.4</v>
      </c>
      <c r="F14" s="18">
        <v>44.82</v>
      </c>
      <c r="H14" s="39">
        <v>13</v>
      </c>
      <c r="I14" s="39">
        <v>0</v>
      </c>
      <c r="J14" s="39">
        <v>15.992370105370233</v>
      </c>
      <c r="K14" s="39">
        <v>449.75265340156125</v>
      </c>
      <c r="L14" s="39">
        <v>2.7112749718339685E-4</v>
      </c>
      <c r="M14" s="39"/>
      <c r="N14" s="39"/>
    </row>
    <row r="15" spans="1:14" x14ac:dyDescent="0.2">
      <c r="A15" s="75" t="s">
        <v>29</v>
      </c>
      <c r="B15" s="39">
        <v>5.5015643344782765E-4</v>
      </c>
      <c r="D15" s="39">
        <v>9</v>
      </c>
      <c r="E15" s="18">
        <v>434.8</v>
      </c>
      <c r="F15" s="18">
        <v>50.76</v>
      </c>
      <c r="H15" s="39">
        <v>16</v>
      </c>
      <c r="I15" s="39">
        <v>0</v>
      </c>
      <c r="J15" s="39">
        <v>14.503750207704339</v>
      </c>
      <c r="K15" s="39">
        <v>426.55107714731361</v>
      </c>
      <c r="L15" s="39">
        <v>2.8646899506881409E-4</v>
      </c>
      <c r="M15" s="39"/>
      <c r="N15" s="39"/>
    </row>
    <row r="16" spans="1:14" x14ac:dyDescent="0.2">
      <c r="A16" s="75" t="s">
        <v>30</v>
      </c>
      <c r="B16" s="39"/>
      <c r="D16" s="40">
        <v>10</v>
      </c>
      <c r="E16" s="19">
        <v>477.3</v>
      </c>
      <c r="F16" s="19">
        <v>55.05</v>
      </c>
      <c r="H16" s="40">
        <v>19</v>
      </c>
      <c r="I16" s="40">
        <v>0</v>
      </c>
      <c r="J16" s="40">
        <v>13.842563405774383</v>
      </c>
      <c r="K16" s="40">
        <v>388.43793055121307</v>
      </c>
      <c r="L16" s="40">
        <v>3.1512854307703573E-4</v>
      </c>
      <c r="M16" s="40"/>
      <c r="N16" s="40"/>
    </row>
    <row r="17" spans="1:14" x14ac:dyDescent="0.2">
      <c r="A17" s="76" t="s">
        <v>31</v>
      </c>
      <c r="B17" s="40"/>
      <c r="D17" s="38">
        <v>11</v>
      </c>
      <c r="E17" s="17">
        <v>536.79999999999995</v>
      </c>
      <c r="F17" s="17">
        <v>61.01</v>
      </c>
      <c r="H17" s="64">
        <v>22</v>
      </c>
      <c r="I17" s="64">
        <v>0</v>
      </c>
      <c r="J17" s="64">
        <v>9.8622429069971957</v>
      </c>
      <c r="K17" s="64">
        <v>372.58211827357036</v>
      </c>
      <c r="L17" s="64">
        <v>3.3227744055592374E-4</v>
      </c>
      <c r="M17" s="64"/>
      <c r="N17" s="64"/>
    </row>
    <row r="18" spans="1:14" x14ac:dyDescent="0.2">
      <c r="A18" s="1" t="s">
        <v>32</v>
      </c>
      <c r="B18" s="15">
        <f>B14*(1-EXP(-B15*B13))</f>
        <v>81.65035777830856</v>
      </c>
      <c r="D18" s="39">
        <v>12</v>
      </c>
      <c r="E18" s="18">
        <v>593.1</v>
      </c>
      <c r="F18" s="18">
        <v>66.400000000000006</v>
      </c>
      <c r="H18" s="39">
        <v>25</v>
      </c>
      <c r="I18" s="39">
        <v>0</v>
      </c>
      <c r="J18" s="39">
        <v>9.4969381335932734</v>
      </c>
      <c r="K18" s="39">
        <v>339.5257244330009</v>
      </c>
      <c r="L18" s="39">
        <v>3.6547937953525147E-4</v>
      </c>
      <c r="M18" s="39"/>
      <c r="N18" s="39"/>
    </row>
    <row r="19" spans="1:14" x14ac:dyDescent="0.2">
      <c r="D19" s="39">
        <v>13</v>
      </c>
      <c r="E19" s="18">
        <v>689.1</v>
      </c>
      <c r="F19" s="18">
        <v>75.47</v>
      </c>
      <c r="H19" s="39">
        <v>28</v>
      </c>
      <c r="I19" s="39">
        <v>0</v>
      </c>
      <c r="J19" s="39">
        <v>5.853123037358559</v>
      </c>
      <c r="K19" s="39">
        <v>328.56066667068421</v>
      </c>
      <c r="L19" s="39">
        <v>3.8216573192402558E-4</v>
      </c>
      <c r="M19" s="39"/>
      <c r="N19" s="39"/>
    </row>
    <row r="20" spans="1:14" x14ac:dyDescent="0.2">
      <c r="A20" t="s">
        <v>176</v>
      </c>
      <c r="D20" s="39">
        <v>14</v>
      </c>
      <c r="E20" s="18">
        <v>760</v>
      </c>
      <c r="F20" s="18">
        <v>81.78</v>
      </c>
      <c r="H20" s="39">
        <v>31</v>
      </c>
      <c r="I20" s="39">
        <v>0</v>
      </c>
      <c r="J20" s="39">
        <v>5.0583500809892348</v>
      </c>
      <c r="K20" s="39">
        <v>304.22358981837596</v>
      </c>
      <c r="L20" s="39">
        <v>4.1433812190182147E-4</v>
      </c>
      <c r="M20" s="39"/>
      <c r="N20" s="39"/>
    </row>
    <row r="21" spans="1:14" x14ac:dyDescent="0.2">
      <c r="A21" s="73" t="s">
        <v>33</v>
      </c>
      <c r="D21" s="39">
        <v>15</v>
      </c>
      <c r="E21" s="18"/>
      <c r="F21" s="18"/>
      <c r="H21" s="39">
        <v>34</v>
      </c>
      <c r="I21" s="39">
        <v>0</v>
      </c>
      <c r="J21" s="39">
        <v>3.1092829018261123</v>
      </c>
      <c r="K21" s="39">
        <v>284.37554040580602</v>
      </c>
      <c r="L21" s="39">
        <v>4.4762527055104554E-4</v>
      </c>
      <c r="M21" s="39"/>
      <c r="N21" s="39"/>
    </row>
    <row r="22" spans="1:14" x14ac:dyDescent="0.2">
      <c r="A22" t="s">
        <v>81</v>
      </c>
      <c r="D22" s="39">
        <v>16</v>
      </c>
      <c r="E22" s="18"/>
      <c r="F22" s="18"/>
      <c r="H22" s="39">
        <v>37</v>
      </c>
      <c r="I22" s="39">
        <v>0</v>
      </c>
      <c r="J22" s="39">
        <v>1.7569143069955955</v>
      </c>
      <c r="K22" s="39">
        <v>266.98770855405138</v>
      </c>
      <c r="L22" s="39">
        <v>4.8134639946192633E-4</v>
      </c>
      <c r="M22" s="39"/>
      <c r="N22" s="39"/>
    </row>
    <row r="23" spans="1:14" x14ac:dyDescent="0.2">
      <c r="D23" s="39">
        <v>17</v>
      </c>
      <c r="E23" s="18"/>
      <c r="F23" s="18"/>
      <c r="H23" s="39">
        <v>40</v>
      </c>
      <c r="I23" s="39">
        <v>0</v>
      </c>
      <c r="J23" s="39">
        <v>0.90483273979251766</v>
      </c>
      <c r="K23" s="39">
        <v>251.70319723149959</v>
      </c>
      <c r="L23" s="39">
        <v>5.1545078987340744E-4</v>
      </c>
      <c r="M23" s="39"/>
      <c r="N23" s="39"/>
    </row>
    <row r="24" spans="1:14" x14ac:dyDescent="0.2">
      <c r="A24" s="73" t="s">
        <v>142</v>
      </c>
      <c r="D24" s="39">
        <v>18</v>
      </c>
      <c r="E24" s="18"/>
      <c r="F24" s="18"/>
      <c r="H24" s="39">
        <v>43</v>
      </c>
      <c r="I24" s="39">
        <v>0</v>
      </c>
      <c r="J24" s="39">
        <v>0.56450617587939766</v>
      </c>
      <c r="K24" s="39">
        <v>238.0859990000306</v>
      </c>
      <c r="L24" s="39">
        <v>5.5011453495392056E-4</v>
      </c>
      <c r="M24" s="39"/>
      <c r="N24" s="39"/>
    </row>
    <row r="25" spans="1:14" x14ac:dyDescent="0.2">
      <c r="A25" s="1" t="s">
        <v>34</v>
      </c>
      <c r="B25" s="37">
        <v>3</v>
      </c>
      <c r="D25" s="39">
        <v>19</v>
      </c>
      <c r="E25" s="18"/>
      <c r="F25" s="18"/>
      <c r="H25" s="39">
        <v>46</v>
      </c>
      <c r="I25" s="39">
        <v>0</v>
      </c>
      <c r="J25" s="39">
        <v>0.12455139074253112</v>
      </c>
      <c r="K25" s="39">
        <v>238.94217278909252</v>
      </c>
      <c r="L25" s="39">
        <v>5.5015646436018203E-4</v>
      </c>
      <c r="M25" s="39"/>
      <c r="N25" s="39"/>
    </row>
    <row r="26" spans="1:14" x14ac:dyDescent="0.2">
      <c r="A26" s="1" t="s">
        <v>219</v>
      </c>
      <c r="B26" s="15">
        <v>0</v>
      </c>
      <c r="D26" s="40">
        <v>20</v>
      </c>
      <c r="E26" s="19"/>
      <c r="F26" s="19"/>
      <c r="H26" s="40">
        <v>49</v>
      </c>
      <c r="I26" s="40">
        <v>0</v>
      </c>
      <c r="J26" s="40">
        <v>0.12455138894441106</v>
      </c>
      <c r="K26" s="40">
        <v>238.94212844158784</v>
      </c>
      <c r="L26" s="40">
        <v>5.5015643378617484E-4</v>
      </c>
      <c r="M26" s="40"/>
      <c r="N26" s="40"/>
    </row>
    <row r="27" spans="1:14" x14ac:dyDescent="0.2">
      <c r="D27" s="38">
        <v>21</v>
      </c>
      <c r="E27" s="17"/>
      <c r="F27" s="17"/>
      <c r="H27" s="64">
        <v>52</v>
      </c>
      <c r="I27" s="64">
        <v>0</v>
      </c>
      <c r="J27" s="64">
        <v>0.1245513889444002</v>
      </c>
      <c r="K27" s="64">
        <v>238.94212831660121</v>
      </c>
      <c r="L27" s="64">
        <v>5.5015643412480533E-4</v>
      </c>
      <c r="M27" s="64"/>
      <c r="N27" s="64"/>
    </row>
    <row r="28" spans="1:14" x14ac:dyDescent="0.2">
      <c r="D28" s="39">
        <v>22</v>
      </c>
      <c r="E28" s="18"/>
      <c r="F28" s="18"/>
      <c r="H28" s="39">
        <v>55</v>
      </c>
      <c r="I28" s="39">
        <v>0</v>
      </c>
      <c r="J28" s="39">
        <v>0.12455138894440732</v>
      </c>
      <c r="K28" s="39">
        <v>238.9421285673391</v>
      </c>
      <c r="L28" s="39">
        <v>5.5015643344782765E-4</v>
      </c>
      <c r="M28" s="39"/>
      <c r="N28" s="39"/>
    </row>
    <row r="29" spans="1:14" x14ac:dyDescent="0.2">
      <c r="D29" s="39">
        <v>23</v>
      </c>
      <c r="E29" s="18"/>
      <c r="F29" s="18"/>
      <c r="H29" s="39"/>
      <c r="I29" s="39"/>
      <c r="J29" s="39"/>
      <c r="K29" s="39"/>
      <c r="L29" s="39"/>
      <c r="M29" s="39"/>
      <c r="N29" s="39"/>
    </row>
    <row r="30" spans="1:14" x14ac:dyDescent="0.2">
      <c r="D30" s="39">
        <v>24</v>
      </c>
      <c r="E30" s="18"/>
      <c r="F30" s="18"/>
      <c r="H30" s="39"/>
      <c r="I30" s="39"/>
      <c r="J30" s="39"/>
      <c r="K30" s="39"/>
      <c r="L30" s="39"/>
      <c r="M30" s="39"/>
      <c r="N30" s="39"/>
    </row>
    <row r="31" spans="1:14" x14ac:dyDescent="0.2">
      <c r="D31" s="39">
        <v>25</v>
      </c>
      <c r="E31" s="18"/>
      <c r="F31" s="18"/>
      <c r="H31" s="39"/>
      <c r="I31" s="39"/>
      <c r="J31" s="39"/>
      <c r="K31" s="39"/>
      <c r="L31" s="39"/>
      <c r="M31" s="39"/>
      <c r="N31" s="39"/>
    </row>
    <row r="32" spans="1:14" x14ac:dyDescent="0.2">
      <c r="D32" s="39">
        <v>26</v>
      </c>
      <c r="E32" s="18"/>
      <c r="F32" s="18"/>
      <c r="H32" s="39"/>
      <c r="I32" s="39"/>
      <c r="J32" s="39"/>
      <c r="K32" s="39"/>
      <c r="L32" s="39"/>
      <c r="M32" s="39"/>
      <c r="N32" s="39"/>
    </row>
    <row r="33" spans="4:14" x14ac:dyDescent="0.2">
      <c r="D33" s="39">
        <v>27</v>
      </c>
      <c r="E33" s="18"/>
      <c r="F33" s="18"/>
      <c r="H33" s="39"/>
      <c r="I33" s="39"/>
      <c r="J33" s="39"/>
      <c r="K33" s="39"/>
      <c r="L33" s="39"/>
      <c r="M33" s="39"/>
      <c r="N33" s="39"/>
    </row>
    <row r="34" spans="4:14" x14ac:dyDescent="0.2">
      <c r="D34" s="39">
        <v>28</v>
      </c>
      <c r="E34" s="18"/>
      <c r="F34" s="18"/>
      <c r="H34" s="39"/>
      <c r="I34" s="39"/>
      <c r="J34" s="39"/>
      <c r="K34" s="39"/>
      <c r="L34" s="39"/>
      <c r="M34" s="39"/>
      <c r="N34" s="39"/>
    </row>
    <row r="35" spans="4:14" x14ac:dyDescent="0.2">
      <c r="D35" s="39">
        <v>29</v>
      </c>
      <c r="E35" s="18"/>
      <c r="F35" s="18"/>
      <c r="H35" s="39"/>
      <c r="I35" s="39"/>
      <c r="J35" s="39"/>
      <c r="K35" s="39"/>
      <c r="L35" s="39"/>
      <c r="M35" s="39"/>
      <c r="N35" s="39"/>
    </row>
    <row r="36" spans="4:14" x14ac:dyDescent="0.2">
      <c r="D36" s="40">
        <v>30</v>
      </c>
      <c r="E36" s="19"/>
      <c r="F36" s="19"/>
      <c r="H36" s="40"/>
      <c r="I36" s="40"/>
      <c r="J36" s="40"/>
      <c r="K36" s="40"/>
      <c r="L36" s="40"/>
      <c r="M36" s="40"/>
      <c r="N36" s="40"/>
    </row>
    <row r="37" spans="4:14" x14ac:dyDescent="0.2">
      <c r="D37" s="38">
        <v>31</v>
      </c>
      <c r="E37" s="17"/>
      <c r="F37" s="17"/>
      <c r="H37" s="64"/>
      <c r="I37" s="64"/>
      <c r="J37" s="64"/>
      <c r="K37" s="64"/>
      <c r="L37" s="64"/>
      <c r="M37" s="64"/>
      <c r="N37" s="64"/>
    </row>
    <row r="38" spans="4:14" x14ac:dyDescent="0.2">
      <c r="D38" s="39">
        <v>32</v>
      </c>
      <c r="E38" s="18"/>
      <c r="F38" s="18"/>
      <c r="H38" s="39"/>
      <c r="I38" s="39"/>
      <c r="J38" s="39"/>
      <c r="K38" s="39"/>
      <c r="L38" s="39"/>
      <c r="M38" s="39"/>
      <c r="N38" s="39"/>
    </row>
    <row r="39" spans="4:14" x14ac:dyDescent="0.2">
      <c r="D39" s="39">
        <v>33</v>
      </c>
      <c r="E39" s="18"/>
      <c r="F39" s="18"/>
      <c r="H39" s="39"/>
      <c r="I39" s="39"/>
      <c r="J39" s="39"/>
      <c r="K39" s="39"/>
      <c r="L39" s="39"/>
      <c r="M39" s="39"/>
      <c r="N39" s="39"/>
    </row>
    <row r="40" spans="4:14" x14ac:dyDescent="0.2">
      <c r="D40" s="39">
        <v>34</v>
      </c>
      <c r="E40" s="18"/>
      <c r="F40" s="18"/>
      <c r="H40" s="39"/>
      <c r="I40" s="39"/>
      <c r="J40" s="39"/>
      <c r="K40" s="39"/>
      <c r="L40" s="39"/>
      <c r="M40" s="39"/>
      <c r="N40" s="39"/>
    </row>
    <row r="41" spans="4:14" x14ac:dyDescent="0.2">
      <c r="D41" s="39">
        <v>35</v>
      </c>
      <c r="E41" s="18"/>
      <c r="F41" s="18"/>
      <c r="H41" s="39"/>
      <c r="I41" s="39"/>
      <c r="J41" s="39"/>
      <c r="K41" s="39"/>
      <c r="L41" s="39"/>
      <c r="M41" s="39"/>
      <c r="N41" s="39"/>
    </row>
    <row r="42" spans="4:14" x14ac:dyDescent="0.2">
      <c r="D42" s="39">
        <v>36</v>
      </c>
      <c r="E42" s="18"/>
      <c r="F42" s="18"/>
      <c r="H42" s="39"/>
      <c r="I42" s="39"/>
      <c r="J42" s="39"/>
      <c r="K42" s="39"/>
      <c r="L42" s="39"/>
      <c r="M42" s="39"/>
      <c r="N42" s="39"/>
    </row>
    <row r="43" spans="4:14" x14ac:dyDescent="0.2">
      <c r="D43" s="39">
        <v>37</v>
      </c>
      <c r="E43" s="18"/>
      <c r="F43" s="18"/>
      <c r="H43" s="39"/>
      <c r="I43" s="39"/>
      <c r="J43" s="39"/>
      <c r="K43" s="39"/>
      <c r="L43" s="39"/>
      <c r="M43" s="39"/>
      <c r="N43" s="39"/>
    </row>
    <row r="44" spans="4:14" x14ac:dyDescent="0.2">
      <c r="D44" s="39">
        <v>38</v>
      </c>
      <c r="E44" s="18"/>
      <c r="F44" s="18"/>
      <c r="H44" s="39"/>
      <c r="I44" s="39"/>
      <c r="J44" s="39"/>
      <c r="K44" s="39"/>
      <c r="L44" s="39"/>
      <c r="M44" s="39"/>
      <c r="N44" s="39"/>
    </row>
    <row r="45" spans="4:14" x14ac:dyDescent="0.2">
      <c r="D45" s="39">
        <v>39</v>
      </c>
      <c r="E45" s="18"/>
      <c r="F45" s="18"/>
      <c r="H45" s="39"/>
      <c r="I45" s="39"/>
      <c r="J45" s="39"/>
      <c r="K45" s="39"/>
      <c r="L45" s="39"/>
      <c r="M45" s="39"/>
      <c r="N45" s="39"/>
    </row>
    <row r="46" spans="4:14" x14ac:dyDescent="0.2">
      <c r="D46" s="40">
        <v>40</v>
      </c>
      <c r="E46" s="19"/>
      <c r="F46" s="19"/>
      <c r="H46" s="40"/>
      <c r="I46" s="40"/>
      <c r="J46" s="40"/>
      <c r="K46" s="40"/>
      <c r="L46" s="40"/>
      <c r="M46" s="40"/>
      <c r="N46" s="40"/>
    </row>
    <row r="47" spans="4:14" x14ac:dyDescent="0.2">
      <c r="H47" s="64"/>
      <c r="I47" s="64"/>
      <c r="J47" s="64"/>
      <c r="K47" s="64"/>
      <c r="L47" s="64"/>
      <c r="M47" s="64"/>
      <c r="N47" s="64"/>
    </row>
    <row r="48" spans="4:14" x14ac:dyDescent="0.2">
      <c r="H48" s="39"/>
      <c r="I48" s="39"/>
      <c r="J48" s="39"/>
      <c r="K48" s="39"/>
      <c r="L48" s="39"/>
      <c r="M48" s="39"/>
      <c r="N48" s="39"/>
    </row>
    <row r="49" spans="8:14" x14ac:dyDescent="0.2">
      <c r="H49" s="39"/>
      <c r="I49" s="39"/>
      <c r="J49" s="39"/>
      <c r="K49" s="39"/>
      <c r="L49" s="39"/>
      <c r="M49" s="39"/>
      <c r="N49" s="39"/>
    </row>
    <row r="50" spans="8:14" x14ac:dyDescent="0.2">
      <c r="H50" s="39"/>
      <c r="I50" s="39"/>
      <c r="J50" s="39"/>
      <c r="K50" s="39"/>
      <c r="L50" s="39"/>
      <c r="M50" s="39"/>
      <c r="N50" s="39"/>
    </row>
    <row r="51" spans="8:14" x14ac:dyDescent="0.2">
      <c r="H51" s="39"/>
      <c r="I51" s="39"/>
      <c r="J51" s="39"/>
      <c r="K51" s="39"/>
      <c r="L51" s="39"/>
      <c r="M51" s="39"/>
      <c r="N51" s="39"/>
    </row>
    <row r="52" spans="8:14" x14ac:dyDescent="0.2">
      <c r="H52" s="39"/>
      <c r="I52" s="39"/>
      <c r="J52" s="39"/>
      <c r="K52" s="39"/>
      <c r="L52" s="39"/>
      <c r="M52" s="39"/>
      <c r="N52" s="39"/>
    </row>
    <row r="53" spans="8:14" x14ac:dyDescent="0.2">
      <c r="H53" s="39"/>
      <c r="I53" s="39"/>
      <c r="J53" s="39"/>
      <c r="K53" s="39"/>
      <c r="L53" s="39"/>
      <c r="M53" s="39"/>
      <c r="N53" s="39"/>
    </row>
    <row r="54" spans="8:14" x14ac:dyDescent="0.2">
      <c r="H54" s="39"/>
      <c r="I54" s="39"/>
      <c r="J54" s="39"/>
      <c r="K54" s="39"/>
      <c r="L54" s="39"/>
      <c r="M54" s="39"/>
      <c r="N54" s="39"/>
    </row>
    <row r="55" spans="8:14" x14ac:dyDescent="0.2">
      <c r="H55" s="39"/>
      <c r="I55" s="39"/>
      <c r="J55" s="39"/>
      <c r="K55" s="39"/>
      <c r="L55" s="39"/>
      <c r="M55" s="39"/>
      <c r="N55" s="39"/>
    </row>
    <row r="56" spans="8:14" x14ac:dyDescent="0.2">
      <c r="H56" s="40"/>
      <c r="I56" s="40"/>
      <c r="J56" s="40"/>
      <c r="K56" s="40"/>
      <c r="L56" s="40"/>
      <c r="M56" s="40"/>
      <c r="N56" s="40"/>
    </row>
  </sheetData>
  <phoneticPr fontId="1"/>
  <dataValidations count="5">
    <dataValidation type="whole" allowBlank="1" showInputMessage="1" showErrorMessage="1" sqref="B12" xr:uid="{00000000-0002-0000-1100-000000000000}">
      <formula1>1</formula1>
      <formula2>4</formula2>
    </dataValidation>
    <dataValidation type="whole" allowBlank="1" showInputMessage="1" showErrorMessage="1" prompt="3: Lmdif1_x000a_" sqref="B25" xr:uid="{00000000-0002-0000-1100-000001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1100-000002000000}">
      <formula1>0</formula1>
    </dataValidation>
    <dataValidation type="whole" operator="greaterThanOrEqual" allowBlank="1" showInputMessage="1" showErrorMessage="1" sqref="B11" xr:uid="{00000000-0002-0000-1100-000003000000}">
      <formula1>1</formula1>
    </dataValidation>
    <dataValidation type="whole" allowBlank="1" showInputMessage="1" showErrorMessage="1" prompt="0: Callback version_x000a_1: Reverse communication version" sqref="B26" xr:uid="{5C904FE0-54D3-4CB1-B7C6-5C98744A22C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Nlsq_Clear">
                <anchor moveWithCells="1" sizeWithCells="1">
                  <from>
                    <xdr:col>3</xdr:col>
                    <xdr:colOff>342900</xdr:colOff>
                    <xdr:row>1</xdr:row>
                    <xdr:rowOff>165100</xdr:rowOff>
                  </from>
                  <to>
                    <xdr:col>4</xdr:col>
                    <xdr:colOff>793750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Nlsq_Start">
                <anchor moveWithCells="1" sizeWithCells="1">
                  <from>
                    <xdr:col>1</xdr:col>
                    <xdr:colOff>0</xdr:colOff>
                    <xdr:row>1</xdr:row>
                    <xdr:rowOff>184150</xdr:rowOff>
                  </from>
                  <to>
                    <xdr:col>2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LEQ(GE)</vt:lpstr>
      <vt:lpstr>LEQ(PO)</vt:lpstr>
      <vt:lpstr>EIG(SY)</vt:lpstr>
      <vt:lpstr>LSQ(1)</vt:lpstr>
      <vt:lpstr>LSQ(2)</vt:lpstr>
      <vt:lpstr>INT(1)</vt:lpstr>
      <vt:lpstr>INT(2)</vt:lpstr>
      <vt:lpstr>INT(3)</vt:lpstr>
      <vt:lpstr>NLEQ(1)</vt:lpstr>
      <vt:lpstr>NLEQ(2)</vt:lpstr>
      <vt:lpstr>OPT(1)</vt:lpstr>
      <vt:lpstr>OPT(2)</vt:lpstr>
      <vt:lpstr>QAD(1)</vt:lpstr>
      <vt:lpstr>QAD(2)</vt:lpstr>
      <vt:lpstr>QAD(3)</vt:lpstr>
      <vt:lpstr>ODE</vt:lpstr>
      <vt:lpstr>ODE (2)</vt:lpstr>
      <vt:lpstr>FFT</vt:lpstr>
      <vt:lpstr>NLSQ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2012-07-30T13:38:31Z</dcterms:created>
  <dcterms:modified xsi:type="dcterms:W3CDTF">2024-07-23T04:11:35Z</dcterms:modified>
</cp:coreProperties>
</file>